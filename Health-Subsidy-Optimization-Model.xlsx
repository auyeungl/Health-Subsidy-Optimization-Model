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Analysis" sheetId="2" r:id="rId6"/>
    <sheet state="visible" name="EXPECTED COST TO INSURE" sheetId="3" r:id="rId7"/>
    <sheet state="visible" name="Open Solver" sheetId="4" r:id="rId8"/>
    <sheet state="hidden" name="__OpenSolverCache__" sheetId="5" r:id="rId9"/>
    <sheet state="hidden" name="__OpenSolver__" sheetId="6" r:id="rId10"/>
  </sheets>
  <definedNames>
    <definedName name="ins">Analysis!$C$35</definedName>
    <definedName name="young">Analysis!$A$11</definedName>
    <definedName name="freq">Analysis!$C$33</definedName>
    <definedName name="old">Analysis!$A$31</definedName>
    <definedName name="mid">Analysis!$A$21</definedName>
    <definedName name="exp">'Raw Data'!$F$2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tc={fdcfac56-0f3e-457f-b7b2-ca0a949ed398}</author>
    <author>tc={ffe70111-e9b5-41b4-b8c3-df36741e5ae8}</author>
  </authors>
  <commentList>
    <comment authorId="0" xr:uid="{fdcfac56-0f3e-457f-b7b2-ca0a949ed398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expected cost has positive income with mult, likely indicating that wealthier individuals can do elective procedures/treatments. switching to a frequency multiplier to better represent the risk
</t>
      </text>
    </comment>
    <comment authorId="1" xr:uid="{ffe70111-e9b5-41b4-b8c3-df36741e5ae8}" ref="W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Mapping 1st, 2nd, 3rd, and 4th quartile community income brackets to the respective income brackets. Not a perfect match, but the best that could be done with the data.
</t>
      </text>
    </comment>
  </commentList>
</comments>
</file>

<file path=xl/sharedStrings.xml><?xml version="1.0" encoding="utf-8"?>
<sst xmlns="http://schemas.openxmlformats.org/spreadsheetml/2006/main" count="313" uniqueCount="122">
  <si>
    <t>uninsured_pop</t>
  </si>
  <si>
    <t>EXPECTED COST TO INSURE</t>
  </si>
  <si>
    <t>gender</t>
  </si>
  <si>
    <t>Demographic</t>
  </si>
  <si>
    <t>insured-pop</t>
  </si>
  <si>
    <t>Uninsured Population</t>
  </si>
  <si>
    <t>age_group</t>
  </si>
  <si>
    <t>% uninsured</t>
  </si>
  <si>
    <t>Expected Cost Per Uninsured</t>
  </si>
  <si>
    <t>income range</t>
  </si>
  <si>
    <t>income_bracket</t>
  </si>
  <si>
    <t>Expected Cost to Insure</t>
  </si>
  <si>
    <t>total demographic expected cost for uninsurance</t>
  </si>
  <si>
    <t>Cost to Insure - Cost of Uninsured</t>
  </si>
  <si>
    <t>https://hbex.coveredca.com/data-research/</t>
  </si>
  <si>
    <t>uninsured_population</t>
  </si>
  <si>
    <t>Subsidized Population</t>
  </si>
  <si>
    <t>expected unisured cost per person</t>
  </si>
  <si>
    <t>total_population</t>
  </si>
  <si>
    <t>expected price to insure</t>
  </si>
  <si>
    <t>Cost Avoided</t>
  </si>
  <si>
    <t>base_severity</t>
  </si>
  <si>
    <t>expected difference</t>
  </si>
  <si>
    <t>Cost to Insure (total)</t>
  </si>
  <si>
    <t>cumulative uninsured pop</t>
  </si>
  <si>
    <t>Saved Per Demo</t>
  </si>
  <si>
    <t>expected stays</t>
  </si>
  <si>
    <t>Maximum Budget</t>
  </si>
  <si>
    <t>cumulative insured pop</t>
  </si>
  <si>
    <t>total mult</t>
  </si>
  <si>
    <t>Total Spending</t>
  </si>
  <si>
    <t>frequency mult</t>
  </si>
  <si>
    <t>Individuals Subsidized</t>
  </si>
  <si>
    <t>severity mult</t>
  </si>
  <si>
    <t>Total saved</t>
  </si>
  <si>
    <t>expected by age</t>
  </si>
  <si>
    <t>M | 18-40 | &lt;=138%</t>
  </si>
  <si>
    <t>Male</t>
  </si>
  <si>
    <t>18 to 64 years</t>
  </si>
  <si>
    <t>age mult</t>
  </si>
  <si>
    <t>expected by sex</t>
  </si>
  <si>
    <t>&lt;= 138% of poverty</t>
  </si>
  <si>
    <t>sex mult</t>
  </si>
  <si>
    <t>expected by income</t>
  </si>
  <si>
    <t>Income Severity Mult</t>
  </si>
  <si>
    <t>% of pop w/ Hospitalizations by age</t>
  </si>
  <si>
    <t>Rate of Inpatient Stays by Sex</t>
  </si>
  <si>
    <t>Rate of Inpatient Stays by Community Income</t>
  </si>
  <si>
    <t xml:space="preserve">Insurance Age Mult </t>
  </si>
  <si>
    <t>2020 Covered California Data</t>
  </si>
  <si>
    <t>"2020 Individual Product Prices for all Health Insurance Companies"</t>
  </si>
  <si>
    <t>&lt;=138%</t>
  </si>
  <si>
    <t>Second Highest For a 21 y/o Silver:</t>
  </si>
  <si>
    <t>70285CA8060003</t>
  </si>
  <si>
    <t>Rating Area 3</t>
  </si>
  <si>
    <t>18-40</t>
  </si>
  <si>
    <t>Blue Shield</t>
  </si>
  <si>
    <t>70285</t>
  </si>
  <si>
    <t>Silver</t>
  </si>
  <si>
    <t>HMO</t>
  </si>
  <si>
    <t>&lt;= 200% poverty</t>
  </si>
  <si>
    <t>Copay</t>
  </si>
  <si>
    <t>Silver 70 Trio HMO</t>
  </si>
  <si>
    <t>Annual:</t>
  </si>
  <si>
    <t>M | 18-40 | 138%-200%</t>
  </si>
  <si>
    <t>M | 18-40 | 200%-250%</t>
  </si>
  <si>
    <t>multiplier:</t>
  </si>
  <si>
    <t>&lt;= 250% poverty</t>
  </si>
  <si>
    <t>https://www.cms.gov/CCIIO/Programs-and-Initiatives/Health-Insurance-Market-Reforms/Downloads/StateSpecAgeCrv053117.pdf</t>
  </si>
  <si>
    <t>M | 18-40 | 250%-400%</t>
  </si>
  <si>
    <t>F | 18-40 | &lt;=138%</t>
  </si>
  <si>
    <t>&lt;= 400% of poverty</t>
  </si>
  <si>
    <t>F | 18-40 | 138%-200%</t>
  </si>
  <si>
    <t>F | 18-40 | 200%-250%</t>
  </si>
  <si>
    <t>F | 18-40 | 250%-400%</t>
  </si>
  <si>
    <t>Between 138% and 400% of poverty</t>
  </si>
  <si>
    <t>M | 40-50 | &lt;=138%</t>
  </si>
  <si>
    <t>M | 40-50 | 138%-200%</t>
  </si>
  <si>
    <t>Female</t>
  </si>
  <si>
    <t>M | 40-50 | 200%-250%</t>
  </si>
  <si>
    <t>M | 40-50 | 250%-400%</t>
  </si>
  <si>
    <t>F | 40-50 | &lt;=138%</t>
  </si>
  <si>
    <t>F | 40-50 | 138%-200%</t>
  </si>
  <si>
    <t>F | 40-50 | 200%-250%</t>
  </si>
  <si>
    <t>F | 40-50 | 250%-400%</t>
  </si>
  <si>
    <t>M | 50-64 | &lt;=138%</t>
  </si>
  <si>
    <t>M | 50-64 | 138%-200%</t>
  </si>
  <si>
    <t>138%-200%</t>
  </si>
  <si>
    <t>M | 50-64 | 200%-250%</t>
  </si>
  <si>
    <t>M | 50-64 | 250%-400%</t>
  </si>
  <si>
    <t>F | 50-64 | &lt;=138%</t>
  </si>
  <si>
    <t>F | 50-64 | 138%-200%</t>
  </si>
  <si>
    <t>40 to 64 years</t>
  </si>
  <si>
    <t>F | 50-64 | 200%-250%</t>
  </si>
  <si>
    <t>F | 50-64 | 250%-400%</t>
  </si>
  <si>
    <t>40-50</t>
  </si>
  <si>
    <t>200%-250%</t>
  </si>
  <si>
    <t>250%-400%</t>
  </si>
  <si>
    <t>50 to 64 years</t>
  </si>
  <si>
    <t>50-64</t>
  </si>
  <si>
    <t>SOURCES:</t>
  </si>
  <si>
    <t>https://datatools.ahrq.gov/hcup-fast-stats/</t>
  </si>
  <si>
    <t>expected cost</t>
  </si>
  <si>
    <r>
      <rPr>
        <rFont val="Roboto, sans-serif"/>
        <color rgb="FF1155CC"/>
        <sz val="12.0"/>
        <u/>
      </rPr>
      <t>Model- Based SAHIE Estimates for Counties and States: 2020</t>
    </r>
  </si>
  <si>
    <t>insured/uninsured by demographic</t>
  </si>
  <si>
    <t>https://www.census.gov/data/datasets/time-series/demo/sahie/estimates-acs.html</t>
  </si>
  <si>
    <r>
      <rPr>
        <rFont val="Arial"/>
        <color rgb="FF1155CC"/>
        <u/>
      </rPr>
      <t>2020 CY Hospital Annual Selected File (October 2022 Extract)</t>
    </r>
    <r>
      <rPr>
        <rFont val="Arial"/>
        <color rgb="FF1155CC"/>
        <u/>
      </rPr>
      <t>XLSX</t>
    </r>
  </si>
  <si>
    <t>expected cost per uninsured stay</t>
  </si>
  <si>
    <t>https://data.chhs.ca.gov/dataset/hospital-annual-financial-data-selected-data-pivot-tables</t>
  </si>
  <si>
    <r>
      <rPr>
        <rFont val="Arial"/>
        <color rgb="FF1155CC"/>
        <u/>
      </rPr>
      <t>2020 CY Hospital Annual Selected File (October 2022 Extract)</t>
    </r>
    <r>
      <rPr>
        <rFont val="Arial"/>
        <color rgb="FF1155CC"/>
        <u/>
      </rPr>
      <t>XLSX</t>
    </r>
  </si>
  <si>
    <t># of uninsured stays</t>
  </si>
  <si>
    <t>age freq:</t>
  </si>
  <si>
    <r>
      <rPr>
        <rFont val="Arial"/>
        <color rgb="FF1155CC"/>
        <u/>
      </rPr>
      <t>https://www.cdc.gov/nchs/hus/topics/hospitalization.htm#explore-data</t>
    </r>
    <r>
      <rPr>
        <rFont val="Arial"/>
        <color rgb="FF1F1F1F"/>
      </rPr>
      <t xml:space="preserve"> | People with hospital stays in the past year, by selected characteristics: United States, selected years 1997–2019</t>
    </r>
  </si>
  <si>
    <t>expected discharges</t>
  </si>
  <si>
    <t>total uninsured</t>
  </si>
  <si>
    <t>total uninsured discharges</t>
  </si>
  <si>
    <t xml:space="preserve">frequency </t>
  </si>
  <si>
    <t>actual cost</t>
  </si>
  <si>
    <t>actual discharges</t>
  </si>
  <si>
    <t>5152 (hadr)</t>
  </si>
  <si>
    <t>difference:</t>
  </si>
  <si>
    <t>insurance base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</si>
</sst>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theme="1"/>
      <name val="Calibri"/>
    </font>
    <font>
      <sz val="11.0"/>
      <color rgb="FF222222"/>
      <name val="Calibri"/>
    </font>
    <font>
      <sz val="12.0"/>
      <color theme="1"/>
      <name val="&quot;gg sans&quot;"/>
    </font>
    <font>
      <color theme="1"/>
      <name val="Arial"/>
    </font>
    <font>
      <u/>
      <color rgb="FF1155CC"/>
      <name val="Arial"/>
    </font>
    <font>
      <u/>
      <sz val="12.0"/>
      <color rgb="FF0000FF"/>
      <name val="Roboto"/>
    </font>
    <font>
      <u/>
      <color rgb="FF0000FF"/>
      <name val="Arial"/>
    </font>
    <font>
      <sz val="12.0"/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0" xfId="0" applyFont="1" applyNumberFormat="1"/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1" numFmtId="1" xfId="0" applyFont="1" applyNumberFormat="1"/>
    <xf borderId="0" fillId="0" fontId="1" numFmtId="2" xfId="0" applyFont="1" applyNumberFormat="1"/>
    <xf borderId="0" fillId="0" fontId="1" numFmtId="2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1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2" fontId="8" numFmtId="0" xfId="0" applyAlignment="1" applyFill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Luke Auyeung" id="{60156d9b-c8a1-4d3c-8db9-8540e363dc5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1" dT="2026-10-19T23:46:02.00" personId="{60156d9b-c8a1-4d3c-8db9-8540e363dc5f}" id="{ffe70111-e9b5-41b4-b8c3-df36741e5ae8}" done="0">
    <x18tc:text xml:space="preserve">Mapping 1st, 2nd, 3rd, and 4th quartile community income brackets to the respective income brackets. Not a perfect match, but the best that could be done with the data.</x18tc:text>
  </x18tc:threadedComment>
  <x18tc:threadedComment ref="L1" dT="2026-10-01T01:24:40.00" personId="{60156d9b-c8a1-4d3c-8db9-8540e363dc5f}" id="{fdcfac56-0f3e-457f-b7b2-ca0a949ed398}" done="0">
    <x18tc:text xml:space="preserve">expected cost has positive income with mult, likely indicating that wealthier individuals can do elective procedures/treatments. switching to a frequency multiplier to better represent the risk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tools.ahrq.gov/hcup-fast-stats/" TargetMode="External"/><Relationship Id="rId2" Type="http://schemas.openxmlformats.org/officeDocument/2006/relationships/hyperlink" Target="https://datatools.ahrq.gov/hcup-fast-stats/" TargetMode="External"/><Relationship Id="rId3" Type="http://schemas.openxmlformats.org/officeDocument/2006/relationships/hyperlink" Target="https://www2.census.gov/programs-surveys/sahie/datasets/time-series/estimates-acs/sahie-2020-csv.zip" TargetMode="External"/><Relationship Id="rId4" Type="http://schemas.openxmlformats.org/officeDocument/2006/relationships/hyperlink" Target="https://www.census.gov/data/datasets/time-series/demo/sahie/estimates-acs.html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cdc.gov/nchs/hus/topics/hospitalization.htm" TargetMode="External"/><Relationship Id="rId5" Type="http://schemas.openxmlformats.org/officeDocument/2006/relationships/hyperlink" Target="https://data.chhs.ca.gov/dataset/hospital-annual-financial-data-selected-data-pivot-tables/resource/95614502-4a18-4c0a-a820-a780f4a7f1a2" TargetMode="External"/><Relationship Id="rId6" Type="http://schemas.openxmlformats.org/officeDocument/2006/relationships/hyperlink" Target="https://data.chhs.ca.gov/dataset/hospital-annual-financial-data-selected-data-pivot-tables" TargetMode="External"/><Relationship Id="rId7" Type="http://schemas.openxmlformats.org/officeDocument/2006/relationships/hyperlink" Target="https://data.chhs.ca.gov/dataset/hospital-annual-financial-data-selected-data-pivot-tables/resource/95614502-4a18-4c0a-a820-a780f4a7f1a2" TargetMode="External"/><Relationship Id="rId8" Type="http://schemas.openxmlformats.org/officeDocument/2006/relationships/hyperlink" Target="https://data.chhs.ca.gov/dataset/hospital-annual-financial-data-selected-data-pivot-table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hbex.coveredca.com/data-research/" TargetMode="External"/><Relationship Id="rId2" Type="http://schemas.openxmlformats.org/officeDocument/2006/relationships/hyperlink" Target="https://www.cms.gov/CCIIO/Programs-and-Initiatives/Health-Insurance-Market-Reforms/Downloads/StateSpecAgeCrv053117.pdf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6</v>
      </c>
      <c r="C1" s="1" t="s">
        <v>10</v>
      </c>
      <c r="D1" s="1" t="s">
        <v>15</v>
      </c>
      <c r="E1" s="1" t="s">
        <v>18</v>
      </c>
      <c r="F1" s="1" t="s">
        <v>21</v>
      </c>
      <c r="I1" s="1" t="s">
        <v>24</v>
      </c>
      <c r="J1" s="1" t="s">
        <v>28</v>
      </c>
      <c r="M1" s="1"/>
    </row>
    <row r="2">
      <c r="A2" s="1" t="s">
        <v>37</v>
      </c>
      <c r="B2" s="1" t="s">
        <v>38</v>
      </c>
      <c r="C2" s="1" t="s">
        <v>41</v>
      </c>
      <c r="D2" s="1">
        <v>11598.0</v>
      </c>
      <c r="E2" s="1">
        <v>75033.0</v>
      </c>
      <c r="F2" s="1">
        <v>74403.059976708</v>
      </c>
      <c r="G2" s="1" t="s">
        <v>37</v>
      </c>
      <c r="H2" s="1" t="s">
        <v>41</v>
      </c>
      <c r="I2" s="2">
        <f>IFERROR(__xludf.DUMMYFUNCTION("IFERROR(SUM(FILTER(D:D, A:A=G2, C:C=H2, B:B=""18 to 64 years"")), 0) - IFERROR(SUM(FILTER(D:D, A:A=G2, C:C=H2, B:B=""40 to 64 years"")), 0)"),6367.0)</f>
        <v>6367</v>
      </c>
      <c r="J2" s="2">
        <f>IFERROR(__xludf.DUMMYFUNCTION("IFERROR(SUM(FILTER(E:E, A:A=G2, C:C=H2, B:B=""18 to 64 years"")), 0) - IFERROR(SUM(FILTER(E:E, A:A=G2, C:C=H2, B:B=""40 to 64 years"")), 0)"),41257.0)</f>
        <v>41257</v>
      </c>
      <c r="K2" s="6">
        <f t="shared" ref="K2:K31" si="1">I2/J2</f>
        <v>0.1543253266</v>
      </c>
      <c r="L2" s="1" t="s">
        <v>55</v>
      </c>
    </row>
    <row r="3">
      <c r="A3" s="1" t="s">
        <v>37</v>
      </c>
      <c r="B3" s="1" t="s">
        <v>38</v>
      </c>
      <c r="C3" s="1" t="s">
        <v>60</v>
      </c>
      <c r="D3" s="1">
        <v>19240.0</v>
      </c>
      <c r="E3" s="1">
        <v>120330.0</v>
      </c>
      <c r="F3" s="1">
        <v>74403.059976708</v>
      </c>
      <c r="G3" s="1" t="s">
        <v>37</v>
      </c>
      <c r="H3" s="1" t="s">
        <v>60</v>
      </c>
      <c r="I3" s="2">
        <f>IFERROR(__xludf.DUMMYFUNCTION("IFERROR(SUM(FILTER(D:D, A:A=G3, C:C=H3, B:B=""18 to 64 years"")), 0) - IFERROR(SUM(FILTER(D:D, A:A=G3, C:C=H3, B:B=""40 to 64 years"")), 0)"),11061.0)</f>
        <v>11061</v>
      </c>
      <c r="J3" s="2">
        <f>IFERROR(__xludf.DUMMYFUNCTION("IFERROR(SUM(FILTER(E:E, A:A=G3, C:C=H3, B:B=""18 to 64 years"")), 0) - IFERROR(SUM(FILTER(E:E, A:A=G3, C:C=H3, B:B=""40 to 64 years"")), 0)"),67751.0)</f>
        <v>67751</v>
      </c>
      <c r="K3" s="6">
        <f t="shared" si="1"/>
        <v>0.1632595829</v>
      </c>
      <c r="L3" s="1" t="s">
        <v>55</v>
      </c>
    </row>
    <row r="4">
      <c r="A4" s="1" t="s">
        <v>37</v>
      </c>
      <c r="B4" s="1" t="s">
        <v>38</v>
      </c>
      <c r="C4" s="1" t="s">
        <v>67</v>
      </c>
      <c r="D4" s="1">
        <v>25345.0</v>
      </c>
      <c r="E4" s="1">
        <v>158812.0</v>
      </c>
      <c r="F4" s="1">
        <v>74403.059976708</v>
      </c>
      <c r="G4" s="1" t="s">
        <v>37</v>
      </c>
      <c r="H4" s="1" t="s">
        <v>67</v>
      </c>
      <c r="I4" s="2">
        <f>IFERROR(__xludf.DUMMYFUNCTION("IFERROR(SUM(FILTER(D:D, A:A=G4, C:C=H4, B:B=""18 to 64 years"")), 0) - IFERROR(SUM(FILTER(D:D, A:A=G4, C:C=H4, B:B=""40 to 64 years"")), 0)"),14703.0)</f>
        <v>14703</v>
      </c>
      <c r="J4" s="2">
        <f>IFERROR(__xludf.DUMMYFUNCTION("IFERROR(SUM(FILTER(E:E, A:A=G4, C:C=H4, B:B=""18 to 64 years"")), 0) - IFERROR(SUM(FILTER(E:E, A:A=G4, C:C=H4, B:B=""40 to 64 years"")), 0)"),89991.0)</f>
        <v>89991</v>
      </c>
      <c r="K4" s="6">
        <f t="shared" si="1"/>
        <v>0.163383005</v>
      </c>
      <c r="L4" s="1" t="s">
        <v>55</v>
      </c>
    </row>
    <row r="5">
      <c r="A5" s="1" t="s">
        <v>37</v>
      </c>
      <c r="B5" s="1" t="s">
        <v>38</v>
      </c>
      <c r="C5" s="1" t="s">
        <v>71</v>
      </c>
      <c r="D5" s="1">
        <v>36383.0</v>
      </c>
      <c r="E5" s="1">
        <v>257797.0</v>
      </c>
      <c r="F5" s="1">
        <v>74403.059976708</v>
      </c>
      <c r="G5" s="1" t="s">
        <v>37</v>
      </c>
      <c r="H5" s="1" t="s">
        <v>71</v>
      </c>
      <c r="I5" s="2">
        <f>IFERROR(__xludf.DUMMYFUNCTION("IFERROR(SUM(FILTER(D:D, A:A=G5, C:C=H5, B:B=""18 to 64 years"")), 0) - IFERROR(SUM(FILTER(D:D, A:A=G5, C:C=H5, B:B=""40 to 64 years"")), 0)"),21362.0)</f>
        <v>21362</v>
      </c>
      <c r="J5" s="2">
        <f>IFERROR(__xludf.DUMMYFUNCTION("IFERROR(SUM(FILTER(E:E, A:A=G5, C:C=H5, B:B=""18 to 64 years"")), 0) - IFERROR(SUM(FILTER(E:E, A:A=G5, C:C=H5, B:B=""40 to 64 years"")), 0)"),146201.0)</f>
        <v>146201</v>
      </c>
      <c r="K5" s="6">
        <f t="shared" si="1"/>
        <v>0.1461139117</v>
      </c>
      <c r="L5" s="1" t="s">
        <v>55</v>
      </c>
    </row>
    <row r="6">
      <c r="A6" s="1" t="s">
        <v>37</v>
      </c>
      <c r="B6" s="1" t="s">
        <v>38</v>
      </c>
      <c r="C6" s="1" t="s">
        <v>75</v>
      </c>
      <c r="D6" s="1">
        <v>24785.0</v>
      </c>
      <c r="E6" s="1">
        <v>182764.0</v>
      </c>
      <c r="F6" s="1">
        <v>74403.059976708</v>
      </c>
      <c r="G6" s="1" t="s">
        <v>37</v>
      </c>
      <c r="H6" s="1" t="s">
        <v>75</v>
      </c>
      <c r="I6" s="2">
        <f>IFERROR(__xludf.DUMMYFUNCTION("IFERROR(SUM(FILTER(D:D, A:A=G6, C:C=H6, B:B=""18 to 64 years"")), 0) - IFERROR(SUM(FILTER(D:D, A:A=G6, C:C=H6, B:B=""40 to 64 years"")), 0)"),14995.0)</f>
        <v>14995</v>
      </c>
      <c r="J6" s="2">
        <f>IFERROR(__xludf.DUMMYFUNCTION("IFERROR(SUM(FILTER(E:E, A:A=G6, C:C=H6, B:B=""18 to 64 years"")), 0) - IFERROR(SUM(FILTER(E:E, A:A=G6, C:C=H6, B:B=""40 to 64 years"")), 0)"),104944.0)</f>
        <v>104944</v>
      </c>
      <c r="K6" s="6">
        <f t="shared" si="1"/>
        <v>0.1428857295</v>
      </c>
      <c r="L6" s="1" t="s">
        <v>55</v>
      </c>
    </row>
    <row r="7">
      <c r="A7" s="1" t="s">
        <v>78</v>
      </c>
      <c r="B7" s="1" t="s">
        <v>38</v>
      </c>
      <c r="C7" s="1" t="s">
        <v>41</v>
      </c>
      <c r="D7" s="1">
        <v>9233.0</v>
      </c>
      <c r="E7" s="1">
        <v>90030.0</v>
      </c>
      <c r="F7" s="1">
        <v>74403.059976708</v>
      </c>
      <c r="G7" s="1" t="s">
        <v>78</v>
      </c>
      <c r="H7" s="1" t="s">
        <v>41</v>
      </c>
      <c r="I7" s="2">
        <f>IFERROR(__xludf.DUMMYFUNCTION("IFERROR(SUM(FILTER(D:D, A:A=G7, C:C=H7, B:B=""18 to 64 years"")), 0) - IFERROR(SUM(FILTER(D:D, A:A=G7, C:C=H7, B:B=""40 to 64 years"")), 0)"),5138.0)</f>
        <v>5138</v>
      </c>
      <c r="J7" s="2">
        <f>IFERROR(__xludf.DUMMYFUNCTION("IFERROR(SUM(FILTER(E:E, A:A=G7, C:C=H7, B:B=""18 to 64 years"")), 0) - IFERROR(SUM(FILTER(E:E, A:A=G7, C:C=H7, B:B=""40 to 64 years"")), 0)"),50997.0)</f>
        <v>50997</v>
      </c>
      <c r="K7" s="6">
        <f t="shared" si="1"/>
        <v>0.1007510246</v>
      </c>
      <c r="L7" s="1" t="s">
        <v>55</v>
      </c>
    </row>
    <row r="8">
      <c r="A8" s="1" t="s">
        <v>78</v>
      </c>
      <c r="B8" s="1" t="s">
        <v>38</v>
      </c>
      <c r="C8" s="1" t="s">
        <v>60</v>
      </c>
      <c r="D8" s="1">
        <v>13996.0</v>
      </c>
      <c r="E8" s="1">
        <v>137442.0</v>
      </c>
      <c r="F8" s="1">
        <v>74403.059976708</v>
      </c>
      <c r="G8" s="1" t="s">
        <v>78</v>
      </c>
      <c r="H8" s="1" t="s">
        <v>60</v>
      </c>
      <c r="I8" s="2">
        <f>IFERROR(__xludf.DUMMYFUNCTION("IFERROR(SUM(FILTER(D:D, A:A=G8, C:C=H8, B:B=""18 to 64 years"")), 0) - IFERROR(SUM(FILTER(D:D, A:A=G8, C:C=H8, B:B=""40 to 64 years"")), 0)"),7767.0)</f>
        <v>7767</v>
      </c>
      <c r="J8" s="2">
        <f>IFERROR(__xludf.DUMMYFUNCTION("IFERROR(SUM(FILTER(E:E, A:A=G8, C:C=H8, B:B=""18 to 64 years"")), 0) - IFERROR(SUM(FILTER(E:E, A:A=G8, C:C=H8, B:B=""40 to 64 years"")), 0)"),77864.0)</f>
        <v>77864</v>
      </c>
      <c r="K8" s="6">
        <f t="shared" si="1"/>
        <v>0.09975084763</v>
      </c>
      <c r="L8" s="1" t="s">
        <v>55</v>
      </c>
    </row>
    <row r="9">
      <c r="A9" s="1" t="s">
        <v>78</v>
      </c>
      <c r="B9" s="1" t="s">
        <v>38</v>
      </c>
      <c r="C9" s="1" t="s">
        <v>67</v>
      </c>
      <c r="D9" s="1">
        <v>17423.0</v>
      </c>
      <c r="E9" s="1">
        <v>175727.0</v>
      </c>
      <c r="F9" s="1">
        <v>74403.059976708</v>
      </c>
      <c r="G9" s="1" t="s">
        <v>78</v>
      </c>
      <c r="H9" s="1" t="s">
        <v>67</v>
      </c>
      <c r="I9" s="2">
        <f>IFERROR(__xludf.DUMMYFUNCTION("IFERROR(SUM(FILTER(D:D, A:A=G9, C:C=H9, B:B=""18 to 64 years"")), 0) - IFERROR(SUM(FILTER(D:D, A:A=G9, C:C=H9, B:B=""40 to 64 years"")), 0)"),9623.0)</f>
        <v>9623</v>
      </c>
      <c r="J9" s="2">
        <f>IFERROR(__xludf.DUMMYFUNCTION("IFERROR(SUM(FILTER(E:E, A:A=G9, C:C=H9, B:B=""18 to 64 years"")), 0) - IFERROR(SUM(FILTER(E:E, A:A=G9, C:C=H9, B:B=""40 to 64 years"")), 0)"),99545.0)</f>
        <v>99545</v>
      </c>
      <c r="K9" s="6">
        <f t="shared" si="1"/>
        <v>0.09666984781</v>
      </c>
      <c r="L9" s="1" t="s">
        <v>55</v>
      </c>
    </row>
    <row r="10">
      <c r="A10" s="1" t="s">
        <v>78</v>
      </c>
      <c r="B10" s="1" t="s">
        <v>38</v>
      </c>
      <c r="C10" s="1" t="s">
        <v>71</v>
      </c>
      <c r="D10" s="1">
        <v>24617.0</v>
      </c>
      <c r="E10" s="1">
        <v>276963.0</v>
      </c>
      <c r="F10" s="1">
        <v>74403.059976708</v>
      </c>
      <c r="G10" s="1" t="s">
        <v>78</v>
      </c>
      <c r="H10" s="1" t="s">
        <v>71</v>
      </c>
      <c r="I10" s="2">
        <f>IFERROR(__xludf.DUMMYFUNCTION("IFERROR(SUM(FILTER(D:D, A:A=G10, C:C=H10, B:B=""18 to 64 years"")), 0) - IFERROR(SUM(FILTER(D:D, A:A=G10, C:C=H10, B:B=""40 to 64 years"")), 0)"),13310.0)</f>
        <v>13310</v>
      </c>
      <c r="J10" s="2">
        <f>IFERROR(__xludf.DUMMYFUNCTION("IFERROR(SUM(FILTER(E:E, A:A=G10, C:C=H10, B:B=""18 to 64 years"")), 0) - IFERROR(SUM(FILTER(E:E, A:A=G10, C:C=H10, B:B=""40 to 64 years"")), 0)"),153620.0)</f>
        <v>153620</v>
      </c>
      <c r="K10" s="6">
        <f t="shared" si="1"/>
        <v>0.08664236428</v>
      </c>
      <c r="L10" s="1" t="s">
        <v>55</v>
      </c>
    </row>
    <row r="11">
      <c r="A11" s="1" t="s">
        <v>78</v>
      </c>
      <c r="B11" s="1" t="s">
        <v>38</v>
      </c>
      <c r="C11" s="1" t="s">
        <v>75</v>
      </c>
      <c r="D11" s="1">
        <v>15384.0</v>
      </c>
      <c r="E11" s="1">
        <v>186933.0</v>
      </c>
      <c r="F11" s="1">
        <v>74403.059976708</v>
      </c>
      <c r="G11" s="1" t="s">
        <v>78</v>
      </c>
      <c r="H11" s="1" t="s">
        <v>75</v>
      </c>
      <c r="I11" s="2">
        <f>IFERROR(__xludf.DUMMYFUNCTION("IFERROR(SUM(FILTER(D:D, A:A=G11, C:C=H11, B:B=""18 to 64 years"")), 0) - IFERROR(SUM(FILTER(D:D, A:A=G11, C:C=H11, B:B=""40 to 64 years"")), 0)"),8172.0)</f>
        <v>8172</v>
      </c>
      <c r="J11" s="2">
        <f>IFERROR(__xludf.DUMMYFUNCTION("IFERROR(SUM(FILTER(E:E, A:A=G11, C:C=H11, B:B=""18 to 64 years"")), 0) - IFERROR(SUM(FILTER(E:E, A:A=G11, C:C=H11, B:B=""40 to 64 years"")), 0)"),102623.0)</f>
        <v>102623</v>
      </c>
      <c r="K11" s="6">
        <f t="shared" si="1"/>
        <v>0.07963127174</v>
      </c>
      <c r="L11" s="1" t="s">
        <v>55</v>
      </c>
    </row>
    <row r="12">
      <c r="A12" s="1" t="s">
        <v>37</v>
      </c>
      <c r="B12" s="1" t="s">
        <v>92</v>
      </c>
      <c r="C12" s="1" t="s">
        <v>41</v>
      </c>
      <c r="D12" s="1">
        <v>5231.0</v>
      </c>
      <c r="E12" s="1">
        <v>33776.0</v>
      </c>
      <c r="F12" s="1">
        <v>74403.059976708</v>
      </c>
      <c r="G12" s="1" t="s">
        <v>37</v>
      </c>
      <c r="H12" s="1" t="s">
        <v>41</v>
      </c>
      <c r="I12" s="2">
        <f>IFERROR(__xludf.DUMMYFUNCTION("IFERROR(SUM(FILTER(D:D, A:A=G12, C:C=H12, B:B=""40 to 64 years"")), 0) - IFERROR(SUM(FILTER(D:D, A:A=G12, C:C=H12, B:B=""50 to 64 years"")), 0)"),3223.0)</f>
        <v>3223</v>
      </c>
      <c r="J12" s="2">
        <f>IFERROR(__xludf.DUMMYFUNCTION("IFERROR(SUM(FILTER(E:E, A:A=G12, C:C=H12, B:B=""40 to 64 years"")), 0) - IFERROR(SUM(FILTER(E:E, A:A=G12, C:C=H12, B:B=""50 to 64 years"")), 0)"),13761.0)</f>
        <v>13761</v>
      </c>
      <c r="K12" s="6">
        <f t="shared" si="1"/>
        <v>0.2342126299</v>
      </c>
      <c r="L12" s="1" t="s">
        <v>95</v>
      </c>
    </row>
    <row r="13">
      <c r="A13" s="1" t="s">
        <v>37</v>
      </c>
      <c r="B13" s="1" t="s">
        <v>92</v>
      </c>
      <c r="C13" s="1" t="s">
        <v>60</v>
      </c>
      <c r="D13" s="1">
        <v>8179.0</v>
      </c>
      <c r="E13" s="1">
        <v>52579.0</v>
      </c>
      <c r="F13" s="1">
        <v>74403.059976708</v>
      </c>
      <c r="G13" s="1" t="s">
        <v>37</v>
      </c>
      <c r="H13" s="1" t="s">
        <v>60</v>
      </c>
      <c r="I13" s="2">
        <f>IFERROR(__xludf.DUMMYFUNCTION("IFERROR(SUM(FILTER(D:D, A:A=G13, C:C=H13, B:B=""40 to 64 years"")), 0) - IFERROR(SUM(FILTER(D:D, A:A=G13, C:C=H13, B:B=""50 to 64 years"")), 0)"),5042.0)</f>
        <v>5042</v>
      </c>
      <c r="J13" s="2">
        <f>IFERROR(__xludf.DUMMYFUNCTION("IFERROR(SUM(FILTER(E:E, A:A=G13, C:C=H13, B:B=""40 to 64 years"")), 0) - IFERROR(SUM(FILTER(E:E, A:A=G13, C:C=H13, B:B=""50 to 64 years"")), 0)"),22179.0)</f>
        <v>22179</v>
      </c>
      <c r="K13" s="6">
        <f t="shared" si="1"/>
        <v>0.2273321611</v>
      </c>
      <c r="L13" s="1" t="s">
        <v>95</v>
      </c>
    </row>
    <row r="14">
      <c r="A14" s="1" t="s">
        <v>37</v>
      </c>
      <c r="B14" s="1" t="s">
        <v>92</v>
      </c>
      <c r="C14" s="1" t="s">
        <v>67</v>
      </c>
      <c r="D14" s="1">
        <v>10642.0</v>
      </c>
      <c r="E14" s="1">
        <v>68821.0</v>
      </c>
      <c r="F14" s="1">
        <v>74403.059976708</v>
      </c>
      <c r="G14" s="1" t="s">
        <v>37</v>
      </c>
      <c r="H14" s="1" t="s">
        <v>67</v>
      </c>
      <c r="I14" s="2">
        <f>IFERROR(__xludf.DUMMYFUNCTION("IFERROR(SUM(FILTER(D:D, A:A=G14, C:C=H14, B:B=""40 to 64 years"")), 0) - IFERROR(SUM(FILTER(D:D, A:A=G14, C:C=H14, B:B=""50 to 64 years"")), 0)"),6521.0)</f>
        <v>6521</v>
      </c>
      <c r="J14" s="2">
        <f>IFERROR(__xludf.DUMMYFUNCTION("IFERROR(SUM(FILTER(E:E, A:A=G14, C:C=H14, B:B=""40 to 64 years"")), 0) - IFERROR(SUM(FILTER(E:E, A:A=G14, C:C=H14, B:B=""50 to 64 years"")), 0)"),29644.0)</f>
        <v>29644</v>
      </c>
      <c r="K14" s="6">
        <f t="shared" si="1"/>
        <v>0.2199770611</v>
      </c>
      <c r="L14" s="1" t="s">
        <v>95</v>
      </c>
    </row>
    <row r="15">
      <c r="A15" s="1" t="s">
        <v>37</v>
      </c>
      <c r="B15" s="1" t="s">
        <v>92</v>
      </c>
      <c r="C15" s="1" t="s">
        <v>71</v>
      </c>
      <c r="D15" s="1">
        <v>15021.0</v>
      </c>
      <c r="E15" s="1">
        <v>111596.0</v>
      </c>
      <c r="F15" s="1">
        <v>74403.059976708</v>
      </c>
      <c r="G15" s="1" t="s">
        <v>37</v>
      </c>
      <c r="H15" s="1" t="s">
        <v>71</v>
      </c>
      <c r="I15" s="2">
        <f>IFERROR(__xludf.DUMMYFUNCTION("IFERROR(SUM(FILTER(D:D, A:A=G15, C:C=H15, B:B=""40 to 64 years"")), 0) - IFERROR(SUM(FILTER(D:D, A:A=G15, C:C=H15, B:B=""50 to 64 years"")), 0)"),8714.0)</f>
        <v>8714</v>
      </c>
      <c r="J15" s="2">
        <f>IFERROR(__xludf.DUMMYFUNCTION("IFERROR(SUM(FILTER(E:E, A:A=G15, C:C=H15, B:B=""40 to 64 years"")), 0) - IFERROR(SUM(FILTER(E:E, A:A=G15, C:C=H15, B:B=""50 to 64 years"")), 0)"),48216.0)</f>
        <v>48216</v>
      </c>
      <c r="K15" s="6">
        <f t="shared" si="1"/>
        <v>0.1807283889</v>
      </c>
      <c r="L15" s="1" t="s">
        <v>95</v>
      </c>
    </row>
    <row r="16">
      <c r="A16" s="1" t="s">
        <v>37</v>
      </c>
      <c r="B16" s="1" t="s">
        <v>92</v>
      </c>
      <c r="C16" s="1" t="s">
        <v>75</v>
      </c>
      <c r="D16" s="1">
        <v>9790.0</v>
      </c>
      <c r="E16" s="1">
        <v>77820.0</v>
      </c>
      <c r="F16" s="1">
        <v>74403.059976708</v>
      </c>
      <c r="G16" s="1" t="s">
        <v>37</v>
      </c>
      <c r="H16" s="1" t="s">
        <v>75</v>
      </c>
      <c r="I16" s="2">
        <f>IFERROR(__xludf.DUMMYFUNCTION("IFERROR(SUM(FILTER(D:D, A:A=G16, C:C=H16, B:B=""40 to 64 years"")), 0) - IFERROR(SUM(FILTER(D:D, A:A=G16, C:C=H16, B:B=""50 to 64 years"")), 0)"),5491.0)</f>
        <v>5491</v>
      </c>
      <c r="J16" s="2">
        <f>IFERROR(__xludf.DUMMYFUNCTION("IFERROR(SUM(FILTER(E:E, A:A=G16, C:C=H16, B:B=""40 to 64 years"")), 0) - IFERROR(SUM(FILTER(E:E, A:A=G16, C:C=H16, B:B=""50 to 64 years"")), 0)"),34455.0)</f>
        <v>34455</v>
      </c>
      <c r="K16" s="6">
        <f t="shared" si="1"/>
        <v>0.1593672907</v>
      </c>
      <c r="L16" s="1" t="s">
        <v>95</v>
      </c>
    </row>
    <row r="17">
      <c r="A17" s="1" t="s">
        <v>78</v>
      </c>
      <c r="B17" s="1" t="s">
        <v>92</v>
      </c>
      <c r="C17" s="1" t="s">
        <v>41</v>
      </c>
      <c r="D17" s="1">
        <v>4095.0</v>
      </c>
      <c r="E17" s="1">
        <v>39033.0</v>
      </c>
      <c r="F17" s="1">
        <v>74403.059976708</v>
      </c>
      <c r="G17" s="1" t="s">
        <v>78</v>
      </c>
      <c r="H17" s="1" t="s">
        <v>41</v>
      </c>
      <c r="I17" s="2">
        <f>IFERROR(__xludf.DUMMYFUNCTION("IFERROR(SUM(FILTER(D:D, A:A=G17, C:C=H17, B:B=""40 to 64 years"")), 0) - IFERROR(SUM(FILTER(D:D, A:A=G17, C:C=H17, B:B=""50 to 64 years"")), 0)"),1790.0)</f>
        <v>1790</v>
      </c>
      <c r="J17" s="2">
        <f>IFERROR(__xludf.DUMMYFUNCTION("IFERROR(SUM(FILTER(E:E, A:A=G17, C:C=H17, B:B=""40 to 64 years"")), 0) - IFERROR(SUM(FILTER(E:E, A:A=G17, C:C=H17, B:B=""50 to 64 years"")), 0)"),15606.0)</f>
        <v>15606</v>
      </c>
      <c r="K17" s="6">
        <f t="shared" si="1"/>
        <v>0.1146994746</v>
      </c>
      <c r="L17" s="1" t="s">
        <v>95</v>
      </c>
    </row>
    <row r="18">
      <c r="A18" s="1" t="s">
        <v>78</v>
      </c>
      <c r="B18" s="1" t="s">
        <v>92</v>
      </c>
      <c r="C18" s="1" t="s">
        <v>60</v>
      </c>
      <c r="D18" s="1">
        <v>6229.0</v>
      </c>
      <c r="E18" s="1">
        <v>59578.0</v>
      </c>
      <c r="F18" s="1">
        <v>74403.059976708</v>
      </c>
      <c r="G18" s="1" t="s">
        <v>78</v>
      </c>
      <c r="H18" s="1" t="s">
        <v>60</v>
      </c>
      <c r="I18" s="2">
        <f>IFERROR(__xludf.DUMMYFUNCTION("IFERROR(SUM(FILTER(D:D, A:A=G18, C:C=H18, B:B=""40 to 64 years"")), 0) - IFERROR(SUM(FILTER(D:D, A:A=G18, C:C=H18, B:B=""50 to 64 years"")), 0)"),2780.0)</f>
        <v>2780</v>
      </c>
      <c r="J18" s="2">
        <f>IFERROR(__xludf.DUMMYFUNCTION("IFERROR(SUM(FILTER(E:E, A:A=G18, C:C=H18, B:B=""40 to 64 years"")), 0) - IFERROR(SUM(FILTER(E:E, A:A=G18, C:C=H18, B:B=""50 to 64 years"")), 0)"),24653.0)</f>
        <v>24653</v>
      </c>
      <c r="K18" s="6">
        <f t="shared" si="1"/>
        <v>0.1127651807</v>
      </c>
      <c r="L18" s="1" t="s">
        <v>95</v>
      </c>
    </row>
    <row r="19">
      <c r="A19" s="1" t="s">
        <v>78</v>
      </c>
      <c r="B19" s="1" t="s">
        <v>92</v>
      </c>
      <c r="C19" s="1" t="s">
        <v>67</v>
      </c>
      <c r="D19" s="1">
        <v>7800.0</v>
      </c>
      <c r="E19" s="1">
        <v>76182.0</v>
      </c>
      <c r="F19" s="1">
        <v>74403.059976708</v>
      </c>
      <c r="G19" s="1" t="s">
        <v>78</v>
      </c>
      <c r="H19" s="1" t="s">
        <v>67</v>
      </c>
      <c r="I19" s="2">
        <f>IFERROR(__xludf.DUMMYFUNCTION("IFERROR(SUM(FILTER(D:D, A:A=G19, C:C=H19, B:B=""40 to 64 years"")), 0) - IFERROR(SUM(FILTER(D:D, A:A=G19, C:C=H19, B:B=""50 to 64 years"")), 0)"),3589.0)</f>
        <v>3589</v>
      </c>
      <c r="J19" s="2">
        <f>IFERROR(__xludf.DUMMYFUNCTION("IFERROR(SUM(FILTER(E:E, A:A=G19, C:C=H19, B:B=""40 to 64 years"")), 0) - IFERROR(SUM(FILTER(E:E, A:A=G19, C:C=H19, B:B=""50 to 64 years"")), 0)"),32029.0)</f>
        <v>32029</v>
      </c>
      <c r="K19" s="6">
        <f t="shared" si="1"/>
        <v>0.1120547004</v>
      </c>
      <c r="L19" s="1" t="s">
        <v>95</v>
      </c>
    </row>
    <row r="20">
      <c r="A20" s="1" t="s">
        <v>78</v>
      </c>
      <c r="B20" s="1" t="s">
        <v>92</v>
      </c>
      <c r="C20" s="1" t="s">
        <v>71</v>
      </c>
      <c r="D20" s="1">
        <v>11307.0</v>
      </c>
      <c r="E20" s="1">
        <v>123343.0</v>
      </c>
      <c r="F20" s="1">
        <v>74403.059976708</v>
      </c>
      <c r="G20" s="1" t="s">
        <v>78</v>
      </c>
      <c r="H20" s="1" t="s">
        <v>71</v>
      </c>
      <c r="I20" s="2">
        <f>IFERROR(__xludf.DUMMYFUNCTION("IFERROR(SUM(FILTER(D:D, A:A=G20, C:C=H20, B:B=""40 to 64 years"")), 0) - IFERROR(SUM(FILTER(D:D, A:A=G20, C:C=H20, B:B=""50 to 64 years"")), 0)"),5074.0)</f>
        <v>5074</v>
      </c>
      <c r="J20" s="2">
        <f>IFERROR(__xludf.DUMMYFUNCTION("IFERROR(SUM(FILTER(E:E, A:A=G20, C:C=H20, B:B=""40 to 64 years"")), 0) - IFERROR(SUM(FILTER(E:E, A:A=G20, C:C=H20, B:B=""50 to 64 years"")), 0)"),51368.0)</f>
        <v>51368</v>
      </c>
      <c r="K20" s="6">
        <f t="shared" si="1"/>
        <v>0.098777449</v>
      </c>
      <c r="L20" s="1" t="s">
        <v>95</v>
      </c>
    </row>
    <row r="21">
      <c r="A21" s="1" t="s">
        <v>78</v>
      </c>
      <c r="B21" s="1" t="s">
        <v>92</v>
      </c>
      <c r="C21" s="1" t="s">
        <v>75</v>
      </c>
      <c r="D21" s="1">
        <v>7212.0</v>
      </c>
      <c r="E21" s="1">
        <v>84310.0</v>
      </c>
      <c r="F21" s="1">
        <v>74403.059976708</v>
      </c>
      <c r="G21" s="1" t="s">
        <v>78</v>
      </c>
      <c r="H21" s="1" t="s">
        <v>75</v>
      </c>
      <c r="I21" s="2">
        <f>IFERROR(__xludf.DUMMYFUNCTION("IFERROR(SUM(FILTER(D:D, A:A=G21, C:C=H21, B:B=""40 to 64 years"")), 0) - IFERROR(SUM(FILTER(D:D, A:A=G21, C:C=H21, B:B=""50 to 64 years"")), 0)"),3284.0)</f>
        <v>3284</v>
      </c>
      <c r="J21" s="2">
        <f>IFERROR(__xludf.DUMMYFUNCTION("IFERROR(SUM(FILTER(E:E, A:A=G21, C:C=H21, B:B=""40 to 64 years"")), 0) - IFERROR(SUM(FILTER(E:E, A:A=G21, C:C=H21, B:B=""50 to 64 years"")), 0)"),35762.0)</f>
        <v>35762</v>
      </c>
      <c r="K21" s="6">
        <f t="shared" si="1"/>
        <v>0.09182931603</v>
      </c>
      <c r="L21" s="1" t="s">
        <v>95</v>
      </c>
    </row>
    <row r="22">
      <c r="A22" s="1" t="s">
        <v>37</v>
      </c>
      <c r="B22" s="1" t="s">
        <v>98</v>
      </c>
      <c r="C22" s="1" t="s">
        <v>41</v>
      </c>
      <c r="D22" s="1">
        <v>2008.0</v>
      </c>
      <c r="E22" s="1">
        <v>20015.0</v>
      </c>
      <c r="F22" s="1">
        <v>74403.059976708</v>
      </c>
      <c r="G22" s="1" t="s">
        <v>37</v>
      </c>
      <c r="H22" s="1" t="s">
        <v>41</v>
      </c>
      <c r="I22" s="1">
        <v>2008.0</v>
      </c>
      <c r="J22" s="1">
        <v>20015.0</v>
      </c>
      <c r="K22" s="6">
        <f t="shared" si="1"/>
        <v>0.1003247564</v>
      </c>
      <c r="L22" s="1" t="s">
        <v>99</v>
      </c>
    </row>
    <row r="23">
      <c r="A23" s="1" t="s">
        <v>37</v>
      </c>
      <c r="B23" s="1" t="s">
        <v>98</v>
      </c>
      <c r="C23" s="1" t="s">
        <v>60</v>
      </c>
      <c r="D23" s="1">
        <v>3137.0</v>
      </c>
      <c r="E23" s="1">
        <v>30400.0</v>
      </c>
      <c r="F23" s="1">
        <v>74403.059976708</v>
      </c>
      <c r="G23" s="1" t="s">
        <v>37</v>
      </c>
      <c r="H23" s="1" t="s">
        <v>60</v>
      </c>
      <c r="I23" s="1">
        <v>3137.0</v>
      </c>
      <c r="J23" s="1">
        <v>30400.0</v>
      </c>
      <c r="K23" s="6">
        <f t="shared" si="1"/>
        <v>0.1031907895</v>
      </c>
      <c r="L23" s="1" t="s">
        <v>99</v>
      </c>
    </row>
    <row r="24">
      <c r="A24" s="1" t="s">
        <v>37</v>
      </c>
      <c r="B24" s="1" t="s">
        <v>98</v>
      </c>
      <c r="C24" s="1" t="s">
        <v>67</v>
      </c>
      <c r="D24" s="1">
        <v>4121.0</v>
      </c>
      <c r="E24" s="1">
        <v>39177.0</v>
      </c>
      <c r="F24" s="1">
        <v>74403.059976708</v>
      </c>
      <c r="G24" s="1" t="s">
        <v>37</v>
      </c>
      <c r="H24" s="1" t="s">
        <v>67</v>
      </c>
      <c r="I24" s="1">
        <v>4121.0</v>
      </c>
      <c r="J24" s="1">
        <v>39177.0</v>
      </c>
      <c r="K24" s="6">
        <f t="shared" si="1"/>
        <v>0.1051892692</v>
      </c>
      <c r="L24" s="1" t="s">
        <v>99</v>
      </c>
    </row>
    <row r="25">
      <c r="A25" s="1" t="s">
        <v>37</v>
      </c>
      <c r="B25" s="1" t="s">
        <v>98</v>
      </c>
      <c r="C25" s="1" t="s">
        <v>71</v>
      </c>
      <c r="D25" s="1">
        <v>6307.0</v>
      </c>
      <c r="E25" s="1">
        <v>63380.0</v>
      </c>
      <c r="F25" s="1">
        <v>74403.059976708</v>
      </c>
      <c r="G25" s="1" t="s">
        <v>37</v>
      </c>
      <c r="H25" s="1" t="s">
        <v>71</v>
      </c>
      <c r="I25" s="1">
        <v>6307.0</v>
      </c>
      <c r="J25" s="1">
        <v>63380.0</v>
      </c>
      <c r="K25" s="6">
        <f t="shared" si="1"/>
        <v>0.09951088672</v>
      </c>
      <c r="L25" s="1" t="s">
        <v>99</v>
      </c>
    </row>
    <row r="26">
      <c r="A26" s="1" t="s">
        <v>37</v>
      </c>
      <c r="B26" s="1" t="s">
        <v>98</v>
      </c>
      <c r="C26" s="1" t="s">
        <v>75</v>
      </c>
      <c r="D26" s="1">
        <v>4299.0</v>
      </c>
      <c r="E26" s="1">
        <v>43365.0</v>
      </c>
      <c r="F26" s="1">
        <v>74403.059976708</v>
      </c>
      <c r="G26" s="1" t="s">
        <v>37</v>
      </c>
      <c r="H26" s="1" t="s">
        <v>75</v>
      </c>
      <c r="I26" s="1">
        <v>4299.0</v>
      </c>
      <c r="J26" s="1">
        <v>43365.0</v>
      </c>
      <c r="K26" s="6">
        <f t="shared" si="1"/>
        <v>0.09913524732</v>
      </c>
      <c r="L26" s="1" t="s">
        <v>99</v>
      </c>
    </row>
    <row r="27">
      <c r="A27" s="1" t="s">
        <v>78</v>
      </c>
      <c r="B27" s="1" t="s">
        <v>98</v>
      </c>
      <c r="C27" s="1" t="s">
        <v>41</v>
      </c>
      <c r="D27" s="1">
        <v>2305.0</v>
      </c>
      <c r="E27" s="1">
        <v>23427.0</v>
      </c>
      <c r="F27" s="1">
        <v>74403.059976708</v>
      </c>
      <c r="G27" s="1" t="s">
        <v>78</v>
      </c>
      <c r="H27" s="1" t="s">
        <v>41</v>
      </c>
      <c r="I27" s="1">
        <v>2305.0</v>
      </c>
      <c r="J27" s="1">
        <v>23427.0</v>
      </c>
      <c r="K27" s="6">
        <f t="shared" si="1"/>
        <v>0.09839074572</v>
      </c>
      <c r="L27" s="1" t="s">
        <v>99</v>
      </c>
    </row>
    <row r="28">
      <c r="A28" s="1" t="s">
        <v>78</v>
      </c>
      <c r="B28" s="1" t="s">
        <v>98</v>
      </c>
      <c r="C28" s="1" t="s">
        <v>60</v>
      </c>
      <c r="D28" s="1">
        <v>3449.0</v>
      </c>
      <c r="E28" s="1">
        <v>34925.0</v>
      </c>
      <c r="F28" s="1">
        <v>74403.059976708</v>
      </c>
      <c r="G28" s="1" t="s">
        <v>78</v>
      </c>
      <c r="H28" s="1" t="s">
        <v>60</v>
      </c>
      <c r="I28" s="1">
        <v>3449.0</v>
      </c>
      <c r="J28" s="1">
        <v>34925.0</v>
      </c>
      <c r="K28" s="6">
        <f t="shared" si="1"/>
        <v>0.09875447387</v>
      </c>
      <c r="L28" s="1" t="s">
        <v>99</v>
      </c>
    </row>
    <row r="29">
      <c r="A29" s="1" t="s">
        <v>78</v>
      </c>
      <c r="B29" s="1" t="s">
        <v>98</v>
      </c>
      <c r="C29" s="1" t="s">
        <v>67</v>
      </c>
      <c r="D29" s="1">
        <v>4211.0</v>
      </c>
      <c r="E29" s="1">
        <v>44153.0</v>
      </c>
      <c r="F29" s="1">
        <v>74403.059976708</v>
      </c>
      <c r="G29" s="1" t="s">
        <v>78</v>
      </c>
      <c r="H29" s="1" t="s">
        <v>67</v>
      </c>
      <c r="I29" s="1">
        <v>4211.0</v>
      </c>
      <c r="J29" s="1">
        <v>44153.0</v>
      </c>
      <c r="K29" s="6">
        <f t="shared" si="1"/>
        <v>0.09537290784</v>
      </c>
      <c r="L29" s="1" t="s">
        <v>99</v>
      </c>
    </row>
    <row r="30">
      <c r="A30" s="1" t="s">
        <v>78</v>
      </c>
      <c r="B30" s="1" t="s">
        <v>98</v>
      </c>
      <c r="C30" s="1" t="s">
        <v>71</v>
      </c>
      <c r="D30" s="1">
        <v>6233.0</v>
      </c>
      <c r="E30" s="1">
        <v>71975.0</v>
      </c>
      <c r="F30" s="1">
        <v>74403.059976708</v>
      </c>
      <c r="G30" s="1" t="s">
        <v>78</v>
      </c>
      <c r="H30" s="1" t="s">
        <v>71</v>
      </c>
      <c r="I30" s="1">
        <v>6233.0</v>
      </c>
      <c r="J30" s="1">
        <v>71975.0</v>
      </c>
      <c r="K30" s="6">
        <f t="shared" si="1"/>
        <v>0.08659951372</v>
      </c>
      <c r="L30" s="1" t="s">
        <v>99</v>
      </c>
    </row>
    <row r="31">
      <c r="A31" s="1" t="s">
        <v>78</v>
      </c>
      <c r="B31" s="1" t="s">
        <v>98</v>
      </c>
      <c r="C31" s="1" t="s">
        <v>75</v>
      </c>
      <c r="D31" s="1">
        <v>3928.0</v>
      </c>
      <c r="E31" s="1">
        <v>48548.0</v>
      </c>
      <c r="F31" s="1">
        <v>74403.059976708</v>
      </c>
      <c r="G31" s="1" t="s">
        <v>78</v>
      </c>
      <c r="H31" s="1" t="s">
        <v>75</v>
      </c>
      <c r="I31" s="1">
        <v>3928.0</v>
      </c>
      <c r="J31" s="1">
        <v>48548.0</v>
      </c>
      <c r="K31" s="6">
        <f t="shared" si="1"/>
        <v>0.08090961523</v>
      </c>
      <c r="L31" s="1" t="s">
        <v>99</v>
      </c>
    </row>
    <row r="32">
      <c r="M32" s="1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7"/>
    </row>
    <row r="34">
      <c r="A34" s="16" t="s">
        <v>100</v>
      </c>
      <c r="B34" s="16" t="s">
        <v>26</v>
      </c>
      <c r="C34" s="16"/>
      <c r="D34" s="18" t="s">
        <v>101</v>
      </c>
      <c r="E34" s="16"/>
      <c r="F34" s="16"/>
      <c r="G34" s="16"/>
      <c r="H34" s="16"/>
      <c r="I34" s="16"/>
      <c r="J34" s="16"/>
      <c r="K34" s="16"/>
      <c r="L34" s="16"/>
      <c r="M34" s="16"/>
    </row>
    <row r="35">
      <c r="A35" s="16"/>
      <c r="B35" s="16" t="s">
        <v>102</v>
      </c>
      <c r="C35" s="16"/>
      <c r="D35" s="18" t="s">
        <v>101</v>
      </c>
      <c r="E35" s="16"/>
      <c r="F35" s="16"/>
      <c r="G35" s="16"/>
      <c r="H35" s="16"/>
      <c r="I35" s="16"/>
      <c r="J35" s="16"/>
      <c r="K35" s="16"/>
      <c r="L35" s="16"/>
    </row>
    <row r="36">
      <c r="A36" s="19" t="s">
        <v>103</v>
      </c>
      <c r="B36" s="16" t="s">
        <v>104</v>
      </c>
      <c r="C36" s="16"/>
      <c r="D36" s="18" t="s">
        <v>105</v>
      </c>
      <c r="E36" s="16"/>
      <c r="F36" s="16"/>
      <c r="G36" s="16"/>
      <c r="H36" s="16"/>
      <c r="I36" s="16"/>
      <c r="J36" s="16"/>
      <c r="K36" s="16"/>
      <c r="L36" s="16"/>
    </row>
    <row r="37">
      <c r="A37" s="18" t="s">
        <v>106</v>
      </c>
      <c r="B37" s="16" t="s">
        <v>107</v>
      </c>
      <c r="C37" s="16"/>
      <c r="D37" s="18" t="s">
        <v>108</v>
      </c>
      <c r="E37" s="16"/>
      <c r="F37" s="16"/>
      <c r="G37" s="16"/>
      <c r="H37" s="16"/>
      <c r="I37" s="16"/>
      <c r="J37" s="16"/>
      <c r="K37" s="16"/>
      <c r="L37" s="16"/>
    </row>
    <row r="38">
      <c r="A38" s="18" t="s">
        <v>109</v>
      </c>
      <c r="B38" s="16" t="s">
        <v>110</v>
      </c>
      <c r="C38" s="16"/>
      <c r="D38" s="18" t="s">
        <v>108</v>
      </c>
      <c r="E38" s="16"/>
      <c r="F38" s="16"/>
      <c r="G38" s="16"/>
      <c r="H38" s="16"/>
      <c r="I38" s="16"/>
      <c r="J38" s="16"/>
      <c r="K38" s="16"/>
      <c r="L38" s="16"/>
    </row>
    <row r="39">
      <c r="A39" s="16"/>
      <c r="B39" s="16" t="s">
        <v>111</v>
      </c>
      <c r="C39" s="16"/>
      <c r="D39" s="20" t="s">
        <v>112</v>
      </c>
      <c r="E39" s="16"/>
      <c r="F39" s="16"/>
      <c r="G39" s="16"/>
      <c r="H39" s="16"/>
      <c r="I39" s="16"/>
      <c r="J39" s="16"/>
      <c r="K39" s="16"/>
      <c r="L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9">
      <c r="K49" s="6"/>
      <c r="P49" s="6"/>
      <c r="R49" s="3"/>
    </row>
    <row r="50">
      <c r="K50" s="6"/>
      <c r="P50" s="6"/>
      <c r="R50" s="3"/>
    </row>
    <row r="51">
      <c r="K51" s="6"/>
      <c r="P51" s="6"/>
      <c r="R51" s="3"/>
    </row>
    <row r="52">
      <c r="K52" s="6"/>
      <c r="P52" s="6"/>
      <c r="R52" s="3"/>
    </row>
    <row r="53">
      <c r="K53" s="6"/>
      <c r="P53" s="6"/>
      <c r="R53" s="3"/>
    </row>
    <row r="54">
      <c r="K54" s="6"/>
      <c r="P54" s="6"/>
      <c r="R54" s="3"/>
    </row>
    <row r="55">
      <c r="K55" s="6"/>
      <c r="P55" s="6"/>
      <c r="R55" s="3"/>
    </row>
    <row r="56">
      <c r="K56" s="6"/>
      <c r="P56" s="6"/>
      <c r="R56" s="3"/>
    </row>
    <row r="57">
      <c r="K57" s="6"/>
      <c r="P57" s="6"/>
      <c r="R57" s="3"/>
    </row>
    <row r="58">
      <c r="K58" s="6"/>
    </row>
    <row r="67">
      <c r="K67" s="21"/>
    </row>
    <row r="68">
      <c r="M68" s="22"/>
      <c r="N68" s="22"/>
    </row>
    <row r="69">
      <c r="M69" s="22"/>
      <c r="N69" s="22"/>
    </row>
    <row r="70">
      <c r="M70" s="22"/>
      <c r="N70" s="22"/>
    </row>
  </sheetData>
  <conditionalFormatting sqref="P49:P57">
    <cfRule type="colorScale" priority="1">
      <colorScale>
        <cfvo type="min"/>
        <cfvo type="max"/>
        <color rgb="FF00FF00"/>
        <color rgb="FFFF0000"/>
      </colorScale>
    </cfRule>
  </conditionalFormatting>
  <conditionalFormatting sqref="S49:U57">
    <cfRule type="colorScale" priority="2">
      <colorScale>
        <cfvo type="min"/>
        <cfvo type="max"/>
        <color rgb="FF00FF00"/>
        <color rgb="FFFF0000"/>
      </colorScale>
    </cfRule>
  </conditionalFormatting>
  <hyperlinks>
    <hyperlink r:id="rId1" ref="D34"/>
    <hyperlink r:id="rId2" ref="D35"/>
    <hyperlink r:id="rId3" ref="A36"/>
    <hyperlink r:id="rId4" ref="D36"/>
    <hyperlink r:id="rId5" ref="A37"/>
    <hyperlink r:id="rId6" ref="D37"/>
    <hyperlink r:id="rId7" ref="A38"/>
    <hyperlink r:id="rId8" ref="D38"/>
    <hyperlink r:id="rId9" location="explore-data" ref="D39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7</v>
      </c>
      <c r="D1" s="1" t="s">
        <v>9</v>
      </c>
      <c r="E1" s="1" t="s">
        <v>12</v>
      </c>
      <c r="F1" s="1" t="s">
        <v>17</v>
      </c>
      <c r="G1" s="1" t="s">
        <v>19</v>
      </c>
      <c r="H1" s="1" t="s">
        <v>22</v>
      </c>
      <c r="I1" s="1" t="s">
        <v>26</v>
      </c>
      <c r="J1" s="1" t="s">
        <v>29</v>
      </c>
      <c r="K1" s="1" t="s">
        <v>31</v>
      </c>
      <c r="L1" s="1" t="s">
        <v>33</v>
      </c>
      <c r="M1" s="1" t="s">
        <v>35</v>
      </c>
      <c r="N1" s="1" t="s">
        <v>39</v>
      </c>
      <c r="O1" s="1" t="s">
        <v>40</v>
      </c>
      <c r="P1" s="1" t="s">
        <v>42</v>
      </c>
      <c r="Q1" s="1" t="s">
        <v>43</v>
      </c>
      <c r="R1" s="1" t="s">
        <v>44</v>
      </c>
      <c r="S1" s="1" t="s">
        <v>45</v>
      </c>
      <c r="U1" s="1" t="s">
        <v>46</v>
      </c>
      <c r="W1" s="1" t="s">
        <v>47</v>
      </c>
      <c r="Y1" s="1" t="s">
        <v>48</v>
      </c>
    </row>
    <row r="2">
      <c r="A2" s="2">
        <f>'Raw Data'!I2</f>
        <v>6367</v>
      </c>
      <c r="B2" s="2">
        <f>'Raw Data'!J2</f>
        <v>41257</v>
      </c>
      <c r="C2" s="6">
        <f t="shared" ref="C2:C5" si="1">A2/B2</f>
        <v>0.1543253266</v>
      </c>
      <c r="D2" s="1" t="s">
        <v>51</v>
      </c>
      <c r="E2" s="3">
        <f t="shared" ref="E2:E5" si="2">A2*F2</f>
        <v>32695060.63</v>
      </c>
      <c r="F2" s="3">
        <f>freq*exp*J2</f>
        <v>5135.080984</v>
      </c>
      <c r="G2" s="3">
        <f>ins*Y2</f>
        <v>4921.74034</v>
      </c>
      <c r="H2" s="3">
        <f t="shared" ref="H2:H5" si="3">F2-G2</f>
        <v>213.3406442</v>
      </c>
      <c r="I2" s="10">
        <f>A2*freq*K2</f>
        <v>529.9998549</v>
      </c>
      <c r="J2" s="11">
        <f t="shared" ref="J2:J5" si="4">K2*L2</f>
        <v>0.8171663615</v>
      </c>
      <c r="K2" s="11">
        <f t="shared" ref="K2:K5" si="5">T2*V2*X2</f>
        <v>0.9855868072</v>
      </c>
      <c r="L2" s="11">
        <f t="shared" ref="L2:L5" si="6">N2*P2</f>
        <v>0.8291165785</v>
      </c>
      <c r="M2" s="12">
        <v>9049.7</v>
      </c>
      <c r="N2" s="11">
        <f t="shared" ref="N2:N5" si="7">2*M2/(M2+M12)</f>
        <v>0.7351622285</v>
      </c>
      <c r="O2" s="12">
        <v>14412.9</v>
      </c>
      <c r="P2" s="11">
        <f t="shared" ref="P2:P5" si="8">O2/(14412.9+11146.4)*2</f>
        <v>1.12780084</v>
      </c>
      <c r="Q2" s="12">
        <v>11725.8</v>
      </c>
      <c r="R2" s="11">
        <f t="shared" ref="R2:R5" si="9">Q2*4/(11725.8+12147.5+12897+14103)</f>
        <v>0.9219610287</v>
      </c>
      <c r="S2" s="12">
        <v>6.6</v>
      </c>
      <c r="T2" s="11">
        <f>S2*(young+mid+old)/(6.6*young+7.2*mid+10.1*old)</f>
        <v>0.8852966865</v>
      </c>
      <c r="U2" s="1">
        <v>8915.6</v>
      </c>
      <c r="V2" s="11">
        <f t="shared" ref="V2:V5" si="10">U2*2/(8915.6+10644.6)</f>
        <v>0.9116062208</v>
      </c>
      <c r="W2" s="13">
        <v>11753.0</v>
      </c>
      <c r="X2" s="11">
        <f t="shared" ref="X2:X5" si="11">W2*4/(11753+10124.9+8995.5+7622.1)</f>
        <v>1.221233651</v>
      </c>
      <c r="Y2" s="12">
        <v>1.087</v>
      </c>
    </row>
    <row r="3">
      <c r="A3" s="2">
        <f>'Raw Data'!I3-'Raw Data'!I2</f>
        <v>4694</v>
      </c>
      <c r="B3" s="2">
        <f>'Raw Data'!J3-'Raw Data'!J2</f>
        <v>26494</v>
      </c>
      <c r="C3" s="6">
        <f t="shared" si="1"/>
        <v>0.1771721899</v>
      </c>
      <c r="D3" s="1" t="s">
        <v>87</v>
      </c>
      <c r="E3" s="3">
        <f t="shared" si="2"/>
        <v>20765021.68</v>
      </c>
      <c r="F3" s="3">
        <f>freq*exp*J3</f>
        <v>4423.737042</v>
      </c>
      <c r="G3" s="3">
        <f>ins*Y3</f>
        <v>4921.74034</v>
      </c>
      <c r="H3" s="3">
        <f t="shared" si="3"/>
        <v>-498.0032978</v>
      </c>
      <c r="I3" s="10">
        <f>A3*freq*K3</f>
        <v>336.6092084</v>
      </c>
      <c r="J3" s="11">
        <f t="shared" si="4"/>
        <v>0.7039673014</v>
      </c>
      <c r="K3" s="11">
        <f t="shared" si="5"/>
        <v>0.8490570803</v>
      </c>
      <c r="L3" s="11">
        <f t="shared" si="6"/>
        <v>0.8291165785</v>
      </c>
      <c r="M3" s="12">
        <v>9049.7</v>
      </c>
      <c r="N3" s="11">
        <f t="shared" si="7"/>
        <v>0.7351622285</v>
      </c>
      <c r="O3" s="12">
        <v>14412.9</v>
      </c>
      <c r="P3" s="11">
        <f t="shared" si="8"/>
        <v>1.12780084</v>
      </c>
      <c r="Q3" s="12">
        <v>12147.5</v>
      </c>
      <c r="R3" s="11">
        <f t="shared" si="9"/>
        <v>0.9551179106</v>
      </c>
      <c r="S3" s="12">
        <v>6.6</v>
      </c>
      <c r="T3" s="11">
        <f>S3*(young+mid+old)/(6.6*young+7.2*mid+10.1*old)</f>
        <v>0.8852966865</v>
      </c>
      <c r="U3" s="1">
        <v>8915.6</v>
      </c>
      <c r="V3" s="11">
        <f t="shared" si="10"/>
        <v>0.9116062208</v>
      </c>
      <c r="W3" s="13">
        <v>10124.9</v>
      </c>
      <c r="X3" s="11">
        <f t="shared" si="11"/>
        <v>1.05206063</v>
      </c>
      <c r="Y3" s="12">
        <v>1.087</v>
      </c>
    </row>
    <row r="4">
      <c r="A4" s="2">
        <f>'Raw Data'!I4-'Raw Data'!I3</f>
        <v>3642</v>
      </c>
      <c r="B4" s="2">
        <f>'Raw Data'!J4-'Raw Data'!J3</f>
        <v>22240</v>
      </c>
      <c r="C4" s="6">
        <f t="shared" si="1"/>
        <v>0.1637589928</v>
      </c>
      <c r="D4" s="1" t="s">
        <v>96</v>
      </c>
      <c r="E4" s="3">
        <f t="shared" si="2"/>
        <v>14314092.2</v>
      </c>
      <c r="F4" s="3">
        <f>freq*exp*J4</f>
        <v>3930.283416</v>
      </c>
      <c r="G4" s="3">
        <f>ins*Y4</f>
        <v>4921.74034</v>
      </c>
      <c r="H4" s="3">
        <f t="shared" si="3"/>
        <v>-991.4569235</v>
      </c>
      <c r="I4" s="10">
        <f>A4*freq*K4</f>
        <v>232.037092</v>
      </c>
      <c r="J4" s="11">
        <f t="shared" si="4"/>
        <v>0.6254420152</v>
      </c>
      <c r="K4" s="11">
        <f t="shared" si="5"/>
        <v>0.7543474963</v>
      </c>
      <c r="L4" s="11">
        <f t="shared" si="6"/>
        <v>0.8291165785</v>
      </c>
      <c r="M4" s="12">
        <v>9049.7</v>
      </c>
      <c r="N4" s="11">
        <f t="shared" si="7"/>
        <v>0.7351622285</v>
      </c>
      <c r="O4" s="12">
        <v>14412.9</v>
      </c>
      <c r="P4" s="11">
        <f t="shared" si="8"/>
        <v>1.12780084</v>
      </c>
      <c r="Q4" s="12">
        <v>12897.0</v>
      </c>
      <c r="R4" s="11">
        <f t="shared" si="9"/>
        <v>1.014048627</v>
      </c>
      <c r="S4" s="12">
        <v>6.6</v>
      </c>
      <c r="T4" s="11">
        <f>S4*(young+mid+old)/(6.6*young+7.2*mid+10.1*old)</f>
        <v>0.8852966865</v>
      </c>
      <c r="U4" s="1">
        <v>8915.6</v>
      </c>
      <c r="V4" s="11">
        <f t="shared" si="10"/>
        <v>0.9116062208</v>
      </c>
      <c r="W4" s="13">
        <v>8995.5</v>
      </c>
      <c r="X4" s="11">
        <f t="shared" si="11"/>
        <v>0.934706654</v>
      </c>
      <c r="Y4" s="12">
        <v>1.087</v>
      </c>
    </row>
    <row r="5">
      <c r="A5" s="2">
        <f>'Raw Data'!I5-'Raw Data'!I4</f>
        <v>6659</v>
      </c>
      <c r="B5" s="2">
        <f>'Raw Data'!J5-'Raw Data'!J4</f>
        <v>56210</v>
      </c>
      <c r="C5" s="6">
        <f t="shared" si="1"/>
        <v>0.118466465</v>
      </c>
      <c r="D5" s="1" t="s">
        <v>97</v>
      </c>
      <c r="E5" s="3">
        <f t="shared" si="2"/>
        <v>22175949.21</v>
      </c>
      <c r="F5" s="3">
        <f>freq*exp*J5</f>
        <v>3330.222136</v>
      </c>
      <c r="G5" s="3">
        <f>ins*Y5</f>
        <v>4921.74034</v>
      </c>
      <c r="H5" s="3">
        <f t="shared" si="3"/>
        <v>-1591.518204</v>
      </c>
      <c r="I5" s="10">
        <f>A5*freq*K5</f>
        <v>359.4809013</v>
      </c>
      <c r="J5" s="11">
        <f t="shared" si="4"/>
        <v>0.5299518186</v>
      </c>
      <c r="K5" s="11">
        <f t="shared" si="5"/>
        <v>0.6391764829</v>
      </c>
      <c r="L5" s="11">
        <f t="shared" si="6"/>
        <v>0.8291165785</v>
      </c>
      <c r="M5" s="12">
        <v>9049.7</v>
      </c>
      <c r="N5" s="11">
        <f t="shared" si="7"/>
        <v>0.7351622285</v>
      </c>
      <c r="O5" s="12">
        <v>14412.9</v>
      </c>
      <c r="P5" s="11">
        <f t="shared" si="8"/>
        <v>1.12780084</v>
      </c>
      <c r="Q5" s="12">
        <v>14103.0</v>
      </c>
      <c r="R5" s="11">
        <f t="shared" si="9"/>
        <v>1.108872434</v>
      </c>
      <c r="S5" s="12">
        <v>6.6</v>
      </c>
      <c r="T5" s="11">
        <f>S5*(young+mid+old)/(6.6*young+7.2*mid+10.1*old)</f>
        <v>0.8852966865</v>
      </c>
      <c r="U5" s="1">
        <v>8915.6</v>
      </c>
      <c r="V5" s="11">
        <f t="shared" si="10"/>
        <v>0.9116062208</v>
      </c>
      <c r="W5" s="13">
        <v>7622.1</v>
      </c>
      <c r="X5" s="11">
        <f t="shared" si="11"/>
        <v>0.7919990648</v>
      </c>
      <c r="Y5" s="12">
        <v>1.087</v>
      </c>
    </row>
    <row r="6">
      <c r="C6" s="6"/>
      <c r="E6" s="3"/>
      <c r="F6" s="3"/>
      <c r="G6" s="3"/>
      <c r="H6" s="3"/>
      <c r="I6" s="1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V6" s="11"/>
      <c r="W6" s="10"/>
      <c r="X6" s="11"/>
      <c r="Y6" s="12">
        <v>1.087</v>
      </c>
    </row>
    <row r="7">
      <c r="A7" s="2">
        <f>'Raw Data'!I7</f>
        <v>5138</v>
      </c>
      <c r="B7" s="2">
        <f>'Raw Data'!J7</f>
        <v>50997</v>
      </c>
      <c r="C7" s="6">
        <f t="shared" ref="C7:C10" si="12">A7/B7</f>
        <v>0.1007510246</v>
      </c>
      <c r="D7" s="1" t="s">
        <v>51</v>
      </c>
      <c r="E7" s="3">
        <f t="shared" ref="E7:E10" si="13">A7*F7</f>
        <v>24361465.96</v>
      </c>
      <c r="F7" s="3">
        <f>freq*exp*J7</f>
        <v>4741.429731</v>
      </c>
      <c r="G7" s="3">
        <f>ins*Y7</f>
        <v>4921.74034</v>
      </c>
      <c r="H7" s="3">
        <f t="shared" ref="H7:H10" si="14">F7-G7</f>
        <v>-180.3106093</v>
      </c>
      <c r="I7" s="10">
        <f>A7*freq*K7</f>
        <v>510.6387538</v>
      </c>
      <c r="J7" s="11">
        <f t="shared" ref="J7:J10" si="15">K7*L7</f>
        <v>0.7545230334</v>
      </c>
      <c r="K7" s="11">
        <f t="shared" ref="K7:K10" si="16">T7*V7*X7</f>
        <v>1.176721402</v>
      </c>
      <c r="L7" s="11">
        <f t="shared" ref="L7:L10" si="17">N7*P7</f>
        <v>0.6412078784</v>
      </c>
      <c r="M7" s="12">
        <v>9049.7</v>
      </c>
      <c r="N7" s="11">
        <f t="shared" ref="N7:N10" si="18">2*M7/(M7+M17)</f>
        <v>0.7351622285</v>
      </c>
      <c r="O7" s="12">
        <v>11146.4</v>
      </c>
      <c r="P7" s="11">
        <f t="shared" ref="P7:P10" si="19">O7/(14412.9+11146.4)*2</f>
        <v>0.8721991604</v>
      </c>
      <c r="Q7" s="12">
        <v>11725.8</v>
      </c>
      <c r="R7" s="11">
        <f t="shared" ref="R7:R10" si="20">Q7*4/(11725.8+12147.5+12897+14103)</f>
        <v>0.9219610287</v>
      </c>
      <c r="S7" s="12">
        <v>6.6</v>
      </c>
      <c r="T7" s="11">
        <f>S7*(young+mid+old)/(6.6*young+7.2*mid+10.1*old)</f>
        <v>0.8852966865</v>
      </c>
      <c r="U7" s="1">
        <v>10644.6</v>
      </c>
      <c r="V7" s="11">
        <f t="shared" ref="V7:V10" si="21">U7*2/(8915.6+10644.6)</f>
        <v>1.088393779</v>
      </c>
      <c r="W7" s="13">
        <v>11753.0</v>
      </c>
      <c r="X7" s="11">
        <f t="shared" ref="X7:X10" si="22">W7*4/(11753+10124.9+8995.5+7622.1)</f>
        <v>1.221233651</v>
      </c>
      <c r="Y7" s="12">
        <v>1.087</v>
      </c>
    </row>
    <row r="8">
      <c r="A8" s="2">
        <f>'Raw Data'!I8-'Raw Data'!I7</f>
        <v>2629</v>
      </c>
      <c r="B8" s="2">
        <f>'Raw Data'!J8-'Raw Data'!J7</f>
        <v>26867</v>
      </c>
      <c r="C8" s="6">
        <f t="shared" si="12"/>
        <v>0.09785238397</v>
      </c>
      <c r="D8" s="1" t="s">
        <v>87</v>
      </c>
      <c r="E8" s="3">
        <f t="shared" si="13"/>
        <v>10738457.71</v>
      </c>
      <c r="F8" s="3">
        <f>freq*exp*J8</f>
        <v>4084.616854</v>
      </c>
      <c r="G8" s="3">
        <f>ins*Y8</f>
        <v>4921.74034</v>
      </c>
      <c r="H8" s="3">
        <f t="shared" si="14"/>
        <v>-837.1234864</v>
      </c>
      <c r="I8" s="10">
        <f>A8*freq*K8</f>
        <v>225.0879595</v>
      </c>
      <c r="J8" s="11">
        <f t="shared" si="15"/>
        <v>0.6500017239</v>
      </c>
      <c r="K8" s="11">
        <f t="shared" si="16"/>
        <v>1.0137145</v>
      </c>
      <c r="L8" s="11">
        <f t="shared" si="17"/>
        <v>0.6412078784</v>
      </c>
      <c r="M8" s="12">
        <v>9049.7</v>
      </c>
      <c r="N8" s="11">
        <f t="shared" si="18"/>
        <v>0.7351622285</v>
      </c>
      <c r="O8" s="12">
        <v>11146.4</v>
      </c>
      <c r="P8" s="11">
        <f t="shared" si="19"/>
        <v>0.8721991604</v>
      </c>
      <c r="Q8" s="12">
        <v>12147.5</v>
      </c>
      <c r="R8" s="11">
        <f t="shared" si="20"/>
        <v>0.9551179106</v>
      </c>
      <c r="S8" s="12">
        <v>6.6</v>
      </c>
      <c r="T8" s="11">
        <f>S8*(young+mid+old)/(6.6*young+7.2*mid+10.1*old)</f>
        <v>0.8852966865</v>
      </c>
      <c r="U8" s="1">
        <v>10644.6</v>
      </c>
      <c r="V8" s="11">
        <f t="shared" si="21"/>
        <v>1.088393779</v>
      </c>
      <c r="W8" s="13">
        <v>10124.9</v>
      </c>
      <c r="X8" s="11">
        <f t="shared" si="22"/>
        <v>1.05206063</v>
      </c>
      <c r="Y8" s="12">
        <v>1.087</v>
      </c>
    </row>
    <row r="9">
      <c r="A9" s="2">
        <f>'Raw Data'!I9-'Raw Data'!I8</f>
        <v>1856</v>
      </c>
      <c r="B9" s="2">
        <f>'Raw Data'!J9-'Raw Data'!J8</f>
        <v>21681</v>
      </c>
      <c r="C9" s="6">
        <f t="shared" si="12"/>
        <v>0.08560490752</v>
      </c>
      <c r="D9" s="1" t="s">
        <v>96</v>
      </c>
      <c r="E9" s="3">
        <f t="shared" si="13"/>
        <v>6735407.283</v>
      </c>
      <c r="F9" s="3">
        <f>freq*exp*J9</f>
        <v>3628.990993</v>
      </c>
      <c r="G9" s="3">
        <f>ins*Y9</f>
        <v>4921.74034</v>
      </c>
      <c r="H9" s="3">
        <f t="shared" si="14"/>
        <v>-1292.749347</v>
      </c>
      <c r="I9" s="10">
        <f>A9*freq*K9</f>
        <v>141.1803373</v>
      </c>
      <c r="J9" s="11">
        <f t="shared" si="15"/>
        <v>0.5774961242</v>
      </c>
      <c r="K9" s="11">
        <f t="shared" si="16"/>
        <v>0.900637911</v>
      </c>
      <c r="L9" s="11">
        <f t="shared" si="17"/>
        <v>0.6412078784</v>
      </c>
      <c r="M9" s="12">
        <v>9049.7</v>
      </c>
      <c r="N9" s="11">
        <f t="shared" si="18"/>
        <v>0.7351622285</v>
      </c>
      <c r="O9" s="12">
        <v>11146.4</v>
      </c>
      <c r="P9" s="11">
        <f t="shared" si="19"/>
        <v>0.8721991604</v>
      </c>
      <c r="Q9" s="12">
        <v>12897.0</v>
      </c>
      <c r="R9" s="11">
        <f t="shared" si="20"/>
        <v>1.014048627</v>
      </c>
      <c r="S9" s="12">
        <v>6.6</v>
      </c>
      <c r="T9" s="11">
        <f>S9*(young+mid+old)/(6.6*young+7.2*mid+10.1*old)</f>
        <v>0.8852966865</v>
      </c>
      <c r="U9" s="1">
        <v>10644.6</v>
      </c>
      <c r="V9" s="11">
        <f t="shared" si="21"/>
        <v>1.088393779</v>
      </c>
      <c r="W9" s="13">
        <v>8995.5</v>
      </c>
      <c r="X9" s="11">
        <f t="shared" si="22"/>
        <v>0.934706654</v>
      </c>
      <c r="Y9" s="12">
        <v>1.087</v>
      </c>
    </row>
    <row r="10">
      <c r="A10" s="2">
        <f>'Raw Data'!I10-'Raw Data'!I9</f>
        <v>3687</v>
      </c>
      <c r="B10" s="2">
        <f>'Raw Data'!J10-'Raw Data'!J9</f>
        <v>54075</v>
      </c>
      <c r="C10" s="6">
        <f t="shared" si="12"/>
        <v>0.06818307906</v>
      </c>
      <c r="D10" s="1" t="s">
        <v>97</v>
      </c>
      <c r="E10" s="3">
        <f t="shared" si="13"/>
        <v>11337266.68</v>
      </c>
      <c r="F10" s="3">
        <f>freq*exp*J10</f>
        <v>3074.929937</v>
      </c>
      <c r="G10" s="3">
        <f>ins*Y10</f>
        <v>4921.74034</v>
      </c>
      <c r="H10" s="3">
        <f t="shared" si="14"/>
        <v>-1846.810403</v>
      </c>
      <c r="I10" s="10">
        <f>A10*freq*K10</f>
        <v>237.6395467</v>
      </c>
      <c r="J10" s="11">
        <f t="shared" si="15"/>
        <v>0.4893261306</v>
      </c>
      <c r="K10" s="11">
        <f t="shared" si="16"/>
        <v>0.7631318128</v>
      </c>
      <c r="L10" s="11">
        <f t="shared" si="17"/>
        <v>0.6412078784</v>
      </c>
      <c r="M10" s="12">
        <v>9049.7</v>
      </c>
      <c r="N10" s="11">
        <f t="shared" si="18"/>
        <v>0.7351622285</v>
      </c>
      <c r="O10" s="12">
        <v>11146.4</v>
      </c>
      <c r="P10" s="11">
        <f t="shared" si="19"/>
        <v>0.8721991604</v>
      </c>
      <c r="Q10" s="12">
        <v>14103.0</v>
      </c>
      <c r="R10" s="11">
        <f t="shared" si="20"/>
        <v>1.108872434</v>
      </c>
      <c r="S10" s="12">
        <v>6.6</v>
      </c>
      <c r="T10" s="11">
        <f>S10*(young+mid+old)/(6.6*young+7.2*mid+10.1*old)</f>
        <v>0.8852966865</v>
      </c>
      <c r="U10" s="1">
        <v>10644.6</v>
      </c>
      <c r="V10" s="11">
        <f t="shared" si="21"/>
        <v>1.088393779</v>
      </c>
      <c r="W10" s="13">
        <v>7622.1</v>
      </c>
      <c r="X10" s="11">
        <f t="shared" si="22"/>
        <v>0.7919990648</v>
      </c>
      <c r="Y10" s="12">
        <v>1.087</v>
      </c>
    </row>
    <row r="11">
      <c r="A11" s="2">
        <f>SUM(A2:A10)</f>
        <v>34672</v>
      </c>
      <c r="C11" s="6"/>
      <c r="E11" s="3"/>
      <c r="F11" s="3"/>
      <c r="G11" s="3"/>
      <c r="H11" s="3"/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V11" s="11"/>
      <c r="W11" s="10"/>
      <c r="X11" s="11"/>
      <c r="Y11" s="11"/>
    </row>
    <row r="12">
      <c r="A12" s="2">
        <f>'Raw Data'!I12</f>
        <v>3223</v>
      </c>
      <c r="B12" s="2">
        <f>'Raw Data'!J12</f>
        <v>13761</v>
      </c>
      <c r="C12" s="6">
        <f t="shared" ref="C12:C15" si="23">A12/B12</f>
        <v>0.2342126299</v>
      </c>
      <c r="D12" s="1" t="s">
        <v>51</v>
      </c>
      <c r="E12" s="3">
        <f t="shared" ref="E12:E15" si="24">A12*F12</f>
        <v>31063315.26</v>
      </c>
      <c r="F12" s="3">
        <f>freq*exp*J12</f>
        <v>9638.012802</v>
      </c>
      <c r="G12" s="3">
        <f>ins*Y12</f>
        <v>6538.17208</v>
      </c>
      <c r="H12" s="3">
        <f t="shared" ref="H12:H15" si="25">F12-G12</f>
        <v>3099.840722</v>
      </c>
      <c r="I12" s="10">
        <f>A12*freq*K12</f>
        <v>292.6777902</v>
      </c>
      <c r="J12" s="11">
        <f t="shared" ref="J12:J15" si="26">K12*L12</f>
        <v>1.53373625</v>
      </c>
      <c r="K12" s="11">
        <f t="shared" ref="K12:K15" si="27">T12*V12*X12</f>
        <v>1.075185608</v>
      </c>
      <c r="L12" s="11">
        <f t="shared" ref="L12:L15" si="28">N12*P12</f>
        <v>1.426485101</v>
      </c>
      <c r="M12" s="12">
        <v>15569.9</v>
      </c>
      <c r="N12" s="11">
        <f t="shared" ref="N12:N13" si="29">2*M12/(M12+M4)</f>
        <v>1.264837772</v>
      </c>
      <c r="O12" s="12">
        <v>14412.9</v>
      </c>
      <c r="P12" s="11">
        <f t="shared" ref="P12:P15" si="30">O12/(14412.9+11146.4)*2</f>
        <v>1.12780084</v>
      </c>
      <c r="Q12" s="12">
        <v>11725.8</v>
      </c>
      <c r="R12" s="11">
        <f t="shared" ref="R12:R15" si="31">Q12*4/(11725.8+12147.5+12897+14103)</f>
        <v>0.9219610287</v>
      </c>
      <c r="S12" s="12">
        <v>7.2</v>
      </c>
      <c r="T12" s="11">
        <f>S12*(young+mid+old)/(6.6*young+7.2*mid+10.1*old)</f>
        <v>0.9657782035</v>
      </c>
      <c r="U12" s="1">
        <v>8915.6</v>
      </c>
      <c r="V12" s="11">
        <f t="shared" ref="V12:V15" si="32">U12*2/(8915.6+10644.6)</f>
        <v>0.9116062208</v>
      </c>
      <c r="W12" s="13">
        <v>11753.0</v>
      </c>
      <c r="X12" s="11">
        <f t="shared" ref="X12:X15" si="33">W12*4/(11753+10124.9+8995.5+7622.1)</f>
        <v>1.221233651</v>
      </c>
      <c r="Y12" s="12">
        <v>1.444</v>
      </c>
    </row>
    <row r="13">
      <c r="A13" s="2">
        <f>'Raw Data'!I13-'Raw Data'!I12</f>
        <v>1819</v>
      </c>
      <c r="B13" s="2">
        <f>'Raw Data'!J13-'Raw Data'!J12</f>
        <v>8418</v>
      </c>
      <c r="C13" s="6">
        <f t="shared" si="23"/>
        <v>0.2160845807</v>
      </c>
      <c r="D13" s="1" t="s">
        <v>87</v>
      </c>
      <c r="E13" s="3">
        <f t="shared" si="24"/>
        <v>15102964.59</v>
      </c>
      <c r="F13" s="3">
        <f>freq*exp*J13</f>
        <v>8302.894224</v>
      </c>
      <c r="G13" s="3">
        <f>ins*Y13</f>
        <v>6538.17208</v>
      </c>
      <c r="H13" s="3">
        <f t="shared" si="25"/>
        <v>1764.722144</v>
      </c>
      <c r="I13" s="10">
        <f>A13*freq*K13</f>
        <v>142.2997599</v>
      </c>
      <c r="J13" s="11">
        <f t="shared" si="26"/>
        <v>1.321273391</v>
      </c>
      <c r="K13" s="11">
        <f t="shared" si="27"/>
        <v>0.9262440876</v>
      </c>
      <c r="L13" s="11">
        <f t="shared" si="28"/>
        <v>1.426485101</v>
      </c>
      <c r="M13" s="12">
        <v>15569.9</v>
      </c>
      <c r="N13" s="11">
        <f t="shared" si="29"/>
        <v>1.264837772</v>
      </c>
      <c r="O13" s="12">
        <v>14412.9</v>
      </c>
      <c r="P13" s="11">
        <f t="shared" si="30"/>
        <v>1.12780084</v>
      </c>
      <c r="Q13" s="12">
        <v>12147.5</v>
      </c>
      <c r="R13" s="11">
        <f t="shared" si="31"/>
        <v>0.9551179106</v>
      </c>
      <c r="S13" s="12">
        <v>7.2</v>
      </c>
      <c r="T13" s="11">
        <f>S13*(young+mid+old)/(6.6*young+7.2*mid+10.1*old)</f>
        <v>0.9657782035</v>
      </c>
      <c r="U13" s="1">
        <v>8915.6</v>
      </c>
      <c r="V13" s="11">
        <f t="shared" si="32"/>
        <v>0.9116062208</v>
      </c>
      <c r="W13" s="13">
        <v>10124.9</v>
      </c>
      <c r="X13" s="11">
        <f t="shared" si="33"/>
        <v>1.05206063</v>
      </c>
      <c r="Y13" s="12">
        <v>1.444</v>
      </c>
    </row>
    <row r="14">
      <c r="A14" s="2">
        <f>'Raw Data'!I14-'Raw Data'!I13</f>
        <v>1479</v>
      </c>
      <c r="B14" s="2">
        <f>'Raw Data'!J14-'Raw Data'!J13</f>
        <v>7465</v>
      </c>
      <c r="C14" s="6">
        <f t="shared" si="23"/>
        <v>0.1981245814</v>
      </c>
      <c r="D14" s="1" t="s">
        <v>96</v>
      </c>
      <c r="E14" s="3">
        <f t="shared" si="24"/>
        <v>10910188.26</v>
      </c>
      <c r="F14" s="3">
        <f>freq*exp*J14</f>
        <v>7376.733103</v>
      </c>
      <c r="G14" s="3">
        <f>ins*Y14</f>
        <v>6538.17208</v>
      </c>
      <c r="H14" s="3">
        <f t="shared" si="25"/>
        <v>838.5610231</v>
      </c>
      <c r="I14" s="10">
        <f>A14*freq*K14</f>
        <v>102.7955247</v>
      </c>
      <c r="J14" s="11">
        <f t="shared" si="26"/>
        <v>1.173889597</v>
      </c>
      <c r="K14" s="11">
        <f t="shared" si="27"/>
        <v>0.8229245415</v>
      </c>
      <c r="L14" s="11">
        <f t="shared" si="28"/>
        <v>1.426485101</v>
      </c>
      <c r="M14" s="12">
        <v>15569.9</v>
      </c>
      <c r="N14" s="11">
        <f>2*M13/(M13+M5)</f>
        <v>1.264837772</v>
      </c>
      <c r="O14" s="12">
        <v>14412.9</v>
      </c>
      <c r="P14" s="11">
        <f t="shared" si="30"/>
        <v>1.12780084</v>
      </c>
      <c r="Q14" s="12">
        <v>12897.0</v>
      </c>
      <c r="R14" s="11">
        <f t="shared" si="31"/>
        <v>1.014048627</v>
      </c>
      <c r="S14" s="12">
        <v>7.2</v>
      </c>
      <c r="T14" s="11">
        <f>S14*(young+mid+old)/(6.6*young+7.2*mid+10.1*old)</f>
        <v>0.9657782035</v>
      </c>
      <c r="U14" s="1">
        <v>8915.6</v>
      </c>
      <c r="V14" s="11">
        <f t="shared" si="32"/>
        <v>0.9116062208</v>
      </c>
      <c r="W14" s="13">
        <v>8995.5</v>
      </c>
      <c r="X14" s="11">
        <f t="shared" si="33"/>
        <v>0.934706654</v>
      </c>
      <c r="Y14" s="12">
        <v>1.444</v>
      </c>
    </row>
    <row r="15">
      <c r="A15" s="2">
        <f>'Raw Data'!I15-'Raw Data'!I14</f>
        <v>2193</v>
      </c>
      <c r="B15" s="2">
        <f>'Raw Data'!J15-'Raw Data'!J14</f>
        <v>18572</v>
      </c>
      <c r="C15" s="6">
        <f t="shared" si="23"/>
        <v>0.1180809821</v>
      </c>
      <c r="D15" s="1" t="s">
        <v>97</v>
      </c>
      <c r="E15" s="3">
        <f t="shared" si="24"/>
        <v>13707303.75</v>
      </c>
      <c r="F15" s="3">
        <f>freq*exp*J15</f>
        <v>6250.480505</v>
      </c>
      <c r="G15" s="3">
        <f>ins*Y15</f>
        <v>6538.17208</v>
      </c>
      <c r="H15" s="3">
        <f t="shared" si="25"/>
        <v>-287.6915747</v>
      </c>
      <c r="I15" s="10">
        <f>A15*freq*K15</f>
        <v>129.1498778</v>
      </c>
      <c r="J15" s="11">
        <f t="shared" si="26"/>
        <v>0.9946644323</v>
      </c>
      <c r="K15" s="11">
        <f t="shared" si="27"/>
        <v>0.6972834359</v>
      </c>
      <c r="L15" s="11">
        <f t="shared" si="28"/>
        <v>1.426485101</v>
      </c>
      <c r="M15" s="12">
        <v>15569.9</v>
      </c>
      <c r="N15" s="11">
        <f>2*M15/(M15+M7)</f>
        <v>1.264837772</v>
      </c>
      <c r="O15" s="12">
        <v>14412.9</v>
      </c>
      <c r="P15" s="11">
        <f t="shared" si="30"/>
        <v>1.12780084</v>
      </c>
      <c r="Q15" s="12">
        <v>14103.0</v>
      </c>
      <c r="R15" s="11">
        <f t="shared" si="31"/>
        <v>1.108872434</v>
      </c>
      <c r="S15" s="12">
        <v>7.2</v>
      </c>
      <c r="T15" s="11">
        <f>S15*(young+mid+old)/(6.6*young+7.2*mid+10.1*old)</f>
        <v>0.9657782035</v>
      </c>
      <c r="U15" s="1">
        <v>8915.6</v>
      </c>
      <c r="V15" s="11">
        <f t="shared" si="32"/>
        <v>0.9116062208</v>
      </c>
      <c r="W15" s="13">
        <v>7622.1</v>
      </c>
      <c r="X15" s="11">
        <f t="shared" si="33"/>
        <v>0.7919990648</v>
      </c>
      <c r="Y15" s="12">
        <v>1.444</v>
      </c>
    </row>
    <row r="16">
      <c r="C16" s="6"/>
      <c r="E16" s="3"/>
      <c r="F16" s="3"/>
      <c r="G16" s="3"/>
      <c r="H16" s="3"/>
      <c r="I16" s="10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V16" s="11"/>
      <c r="W16" s="10"/>
      <c r="X16" s="11"/>
      <c r="Y16" s="11"/>
    </row>
    <row r="17">
      <c r="A17" s="2">
        <f>'Raw Data'!I17</f>
        <v>1790</v>
      </c>
      <c r="B17" s="2">
        <f>'Raw Data'!J17</f>
        <v>15606</v>
      </c>
      <c r="C17" s="6">
        <f t="shared" ref="C17:C20" si="34">A17/B17</f>
        <v>0.1146994746</v>
      </c>
      <c r="D17" s="1" t="s">
        <v>51</v>
      </c>
      <c r="E17" s="3">
        <f t="shared" ref="E17:E20" si="35">A17*F17</f>
        <v>15929514.93</v>
      </c>
      <c r="F17" s="3">
        <f>freq*exp*J17</f>
        <v>8899.170351</v>
      </c>
      <c r="G17" s="3">
        <f>ins*Y17</f>
        <v>6538.17208</v>
      </c>
      <c r="H17" s="3">
        <f t="shared" ref="H17:H20" si="36">F17-G17</f>
        <v>2360.998271</v>
      </c>
      <c r="I17" s="10">
        <f>A17*freq*K17</f>
        <v>194.071277</v>
      </c>
      <c r="J17" s="11">
        <f t="shared" ref="J17:J20" si="37">K17*L17</f>
        <v>1.41616124</v>
      </c>
      <c r="K17" s="11">
        <f t="shared" ref="K17:K20" si="38">T17*V17*X17</f>
        <v>1.283696075</v>
      </c>
      <c r="L17" s="11">
        <f t="shared" ref="L17:L20" si="39">N17*P17</f>
        <v>1.103190442</v>
      </c>
      <c r="M17" s="12">
        <v>15569.9</v>
      </c>
      <c r="N17" s="11">
        <f>2*M13/(M13+M5)</f>
        <v>1.264837772</v>
      </c>
      <c r="O17" s="12">
        <v>11146.4</v>
      </c>
      <c r="P17" s="11">
        <f t="shared" ref="P17:P20" si="40">O17/(14412.9+11146.4)*2</f>
        <v>0.8721991604</v>
      </c>
      <c r="Q17" s="12">
        <v>11725.8</v>
      </c>
      <c r="R17" s="11">
        <f t="shared" ref="R17:R20" si="41">Q17*4/(11725.8+12147.5+12897+14103)</f>
        <v>0.9219610287</v>
      </c>
      <c r="S17" s="12">
        <v>7.2</v>
      </c>
      <c r="T17" s="11">
        <f>S17*(young+mid+old)/(6.6*young+7.2*mid+10.1*old)</f>
        <v>0.9657782035</v>
      </c>
      <c r="U17" s="1">
        <v>10644.6</v>
      </c>
      <c r="V17" s="11">
        <f t="shared" ref="V17:V20" si="42">U17*2/(8915.6+10644.6)</f>
        <v>1.088393779</v>
      </c>
      <c r="W17" s="13">
        <v>11753.0</v>
      </c>
      <c r="X17" s="11">
        <f t="shared" ref="X17:X20" si="43">W17*4/(11753+10124.9+8995.5+7622.1)</f>
        <v>1.221233651</v>
      </c>
      <c r="Y17" s="12">
        <v>1.444</v>
      </c>
    </row>
    <row r="18">
      <c r="A18" s="2">
        <f>'Raw Data'!I18-'Raw Data'!I17</f>
        <v>990</v>
      </c>
      <c r="B18" s="2">
        <f>'Raw Data'!J18-'Raw Data'!J17</f>
        <v>9047</v>
      </c>
      <c r="C18" s="6">
        <f t="shared" si="34"/>
        <v>0.1094285398</v>
      </c>
      <c r="D18" s="1" t="s">
        <v>87</v>
      </c>
      <c r="E18" s="3">
        <f t="shared" si="35"/>
        <v>7589736.9</v>
      </c>
      <c r="F18" s="3">
        <f>freq*exp*J18</f>
        <v>7666.400909</v>
      </c>
      <c r="G18" s="3">
        <f>ins*Y18</f>
        <v>6538.17208</v>
      </c>
      <c r="H18" s="3">
        <f t="shared" si="36"/>
        <v>1128.228829</v>
      </c>
      <c r="I18" s="10">
        <f>A18*freq*K18</f>
        <v>92.46671595</v>
      </c>
      <c r="J18" s="11">
        <f t="shared" si="37"/>
        <v>1.219985616</v>
      </c>
      <c r="K18" s="11">
        <f t="shared" si="38"/>
        <v>1.105870364</v>
      </c>
      <c r="L18" s="11">
        <f t="shared" si="39"/>
        <v>1.103190442</v>
      </c>
      <c r="M18" s="12">
        <v>15569.9</v>
      </c>
      <c r="N18" s="11">
        <f>2*M13/(M13+M5)</f>
        <v>1.264837772</v>
      </c>
      <c r="O18" s="12">
        <v>11146.4</v>
      </c>
      <c r="P18" s="11">
        <f t="shared" si="40"/>
        <v>0.8721991604</v>
      </c>
      <c r="Q18" s="12">
        <v>12147.5</v>
      </c>
      <c r="R18" s="11">
        <f t="shared" si="41"/>
        <v>0.9551179106</v>
      </c>
      <c r="S18" s="12">
        <v>7.2</v>
      </c>
      <c r="T18" s="11">
        <f>S18*(young+mid+old)/(6.6*young+7.2*mid+10.1*old)</f>
        <v>0.9657782035</v>
      </c>
      <c r="U18" s="1">
        <v>10644.6</v>
      </c>
      <c r="V18" s="11">
        <f t="shared" si="42"/>
        <v>1.088393779</v>
      </c>
      <c r="W18" s="13">
        <v>10124.9</v>
      </c>
      <c r="X18" s="11">
        <f t="shared" si="43"/>
        <v>1.05206063</v>
      </c>
      <c r="Y18" s="12">
        <v>1.444</v>
      </c>
    </row>
    <row r="19">
      <c r="A19" s="2">
        <f>'Raw Data'!I19-'Raw Data'!I18</f>
        <v>809</v>
      </c>
      <c r="B19" s="2">
        <f>'Raw Data'!J19-'Raw Data'!J18</f>
        <v>7376</v>
      </c>
      <c r="C19" s="6">
        <f t="shared" si="34"/>
        <v>0.1096800434</v>
      </c>
      <c r="D19" s="1" t="s">
        <v>96</v>
      </c>
      <c r="E19" s="3">
        <f t="shared" si="35"/>
        <v>5510292.002</v>
      </c>
      <c r="F19" s="3">
        <f>freq*exp*J19</f>
        <v>6811.238568</v>
      </c>
      <c r="G19" s="3">
        <f>ins*Y19</f>
        <v>6538.17208</v>
      </c>
      <c r="H19" s="3">
        <f t="shared" si="36"/>
        <v>273.0664881</v>
      </c>
      <c r="I19" s="10">
        <f>A19*freq*K19</f>
        <v>67.13257811</v>
      </c>
      <c r="J19" s="11">
        <f t="shared" si="37"/>
        <v>1.083900148</v>
      </c>
      <c r="K19" s="11">
        <f t="shared" si="38"/>
        <v>0.9825140848</v>
      </c>
      <c r="L19" s="11">
        <f t="shared" si="39"/>
        <v>1.103190442</v>
      </c>
      <c r="M19" s="12">
        <v>15569.9</v>
      </c>
      <c r="N19" s="11">
        <f>2*M13/(M13+M5)</f>
        <v>1.264837772</v>
      </c>
      <c r="O19" s="12">
        <v>11146.4</v>
      </c>
      <c r="P19" s="11">
        <f t="shared" si="40"/>
        <v>0.8721991604</v>
      </c>
      <c r="Q19" s="12">
        <v>12897.0</v>
      </c>
      <c r="R19" s="11">
        <f t="shared" si="41"/>
        <v>1.014048627</v>
      </c>
      <c r="S19" s="12">
        <v>7.2</v>
      </c>
      <c r="T19" s="11">
        <f>S19*(young+mid+old)/(6.6*young+7.2*mid+10.1*old)</f>
        <v>0.9657782035</v>
      </c>
      <c r="U19" s="1">
        <v>10644.6</v>
      </c>
      <c r="V19" s="11">
        <f t="shared" si="42"/>
        <v>1.088393779</v>
      </c>
      <c r="W19" s="13">
        <v>8995.5</v>
      </c>
      <c r="X19" s="11">
        <f t="shared" si="43"/>
        <v>0.934706654</v>
      </c>
      <c r="Y19" s="12">
        <v>1.444</v>
      </c>
    </row>
    <row r="20">
      <c r="A20" s="2">
        <f>'Raw Data'!I20-'Raw Data'!I19</f>
        <v>1485</v>
      </c>
      <c r="B20" s="2">
        <f>'Raw Data'!J20-'Raw Data'!J19</f>
        <v>19339</v>
      </c>
      <c r="C20" s="6">
        <f t="shared" si="34"/>
        <v>0.07678783805</v>
      </c>
      <c r="D20" s="1" t="s">
        <v>97</v>
      </c>
      <c r="E20" s="3">
        <f t="shared" si="35"/>
        <v>8570415.554</v>
      </c>
      <c r="F20" s="3">
        <f>freq*exp*J20</f>
        <v>5771.323605</v>
      </c>
      <c r="G20" s="3">
        <f>ins*Y20</f>
        <v>6538.17208</v>
      </c>
      <c r="H20" s="3">
        <f t="shared" si="36"/>
        <v>-766.8484749</v>
      </c>
      <c r="I20" s="10">
        <f>A20*freq*K20</f>
        <v>104.4144469</v>
      </c>
      <c r="J20" s="11">
        <f t="shared" si="37"/>
        <v>0.9184142423</v>
      </c>
      <c r="K20" s="11">
        <f t="shared" si="38"/>
        <v>0.8325074321</v>
      </c>
      <c r="L20" s="11">
        <f t="shared" si="39"/>
        <v>1.103190442</v>
      </c>
      <c r="M20" s="12">
        <v>15569.9</v>
      </c>
      <c r="N20" s="11">
        <f>2*M13/(M13+M5)</f>
        <v>1.264837772</v>
      </c>
      <c r="O20" s="12">
        <v>11146.4</v>
      </c>
      <c r="P20" s="11">
        <f t="shared" si="40"/>
        <v>0.8721991604</v>
      </c>
      <c r="Q20" s="12">
        <v>14103.0</v>
      </c>
      <c r="R20" s="11">
        <f t="shared" si="41"/>
        <v>1.108872434</v>
      </c>
      <c r="S20" s="12">
        <v>7.2</v>
      </c>
      <c r="T20" s="11">
        <f>S20*(young+mid+old)/(6.6*young+7.2*mid+10.1*old)</f>
        <v>0.9657782035</v>
      </c>
      <c r="U20" s="1">
        <v>10644.6</v>
      </c>
      <c r="V20" s="11">
        <f t="shared" si="42"/>
        <v>1.088393779</v>
      </c>
      <c r="W20" s="13">
        <v>7622.1</v>
      </c>
      <c r="X20" s="11">
        <f t="shared" si="43"/>
        <v>0.7919990648</v>
      </c>
      <c r="Y20" s="12">
        <v>1.444</v>
      </c>
    </row>
    <row r="21">
      <c r="A21" s="2">
        <f>SUM(A12:A20)</f>
        <v>13788</v>
      </c>
      <c r="C21" s="6"/>
      <c r="E21" s="3"/>
      <c r="F21" s="3"/>
      <c r="G21" s="3"/>
      <c r="H21" s="3"/>
      <c r="I21" s="10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V21" s="11"/>
      <c r="W21" s="10"/>
      <c r="X21" s="11"/>
      <c r="Y21" s="11"/>
    </row>
    <row r="22">
      <c r="A22" s="2">
        <f>'Raw Data'!I22</f>
        <v>2008</v>
      </c>
      <c r="B22" s="2">
        <f>'Raw Data'!J22</f>
        <v>20015</v>
      </c>
      <c r="C22" s="6">
        <f t="shared" ref="C22:C25" si="44">A22/B22</f>
        <v>0.1003247564</v>
      </c>
      <c r="D22" s="1" t="s">
        <v>51</v>
      </c>
      <c r="E22" s="3">
        <f t="shared" ref="E22:E25" si="45">A22*F22</f>
        <v>27148140.28</v>
      </c>
      <c r="F22" s="3">
        <f>freq*exp*J22</f>
        <v>13519.99018</v>
      </c>
      <c r="G22" s="3">
        <f>ins*Y22</f>
        <v>11034.29734</v>
      </c>
      <c r="H22" s="3">
        <f t="shared" ref="H22:H25" si="46">F22-G22</f>
        <v>2485.692841</v>
      </c>
      <c r="I22" s="10">
        <f>A22*freq*K22</f>
        <v>255.7891081</v>
      </c>
      <c r="J22" s="11">
        <f t="shared" ref="J22:J25" si="47">K22*L22</f>
        <v>2.151491129</v>
      </c>
      <c r="K22" s="11">
        <f t="shared" ref="K22:K25" si="48">T22*V22*X22</f>
        <v>1.508246478</v>
      </c>
      <c r="L22" s="11">
        <f t="shared" ref="L22:L25" si="49">N22*P22</f>
        <v>1.426485101</v>
      </c>
      <c r="M22" s="12">
        <v>15569.9</v>
      </c>
      <c r="N22" s="11">
        <f>2*M13/(M13+M5)</f>
        <v>1.264837772</v>
      </c>
      <c r="O22" s="12">
        <v>14412.9</v>
      </c>
      <c r="P22" s="11">
        <f t="shared" ref="P22:P25" si="50">O22/(14412.9+11146.4)*2</f>
        <v>1.12780084</v>
      </c>
      <c r="Q22" s="12">
        <v>11725.8</v>
      </c>
      <c r="R22" s="11">
        <f t="shared" ref="R22:R25" si="51">Q22*4/(11725.8+12147.5+12897+14103)</f>
        <v>0.9219610287</v>
      </c>
      <c r="S22" s="12">
        <v>10.1</v>
      </c>
      <c r="T22" s="11">
        <f>S22*(young+mid+old)/(6.6*young+7.2*mid+10.1*old)</f>
        <v>1.354772202</v>
      </c>
      <c r="U22" s="1">
        <v>8915.6</v>
      </c>
      <c r="V22" s="11">
        <f t="shared" ref="V22:V25" si="52">U22*2/(8915.6+10644.6)</f>
        <v>0.9116062208</v>
      </c>
      <c r="W22" s="13">
        <v>11753.0</v>
      </c>
      <c r="X22" s="11">
        <f t="shared" ref="X22:X25" si="53">W22*4/(11753+10124.9+8995.5+7622.1)</f>
        <v>1.221233651</v>
      </c>
      <c r="Y22" s="12">
        <v>2.437</v>
      </c>
    </row>
    <row r="23">
      <c r="A23" s="2">
        <f>'Raw Data'!I23-'Raw Data'!I22</f>
        <v>1129</v>
      </c>
      <c r="B23" s="2">
        <f>'Raw Data'!J23-'Raw Data'!J22</f>
        <v>10385</v>
      </c>
      <c r="C23" s="6">
        <f t="shared" si="44"/>
        <v>0.1087144921</v>
      </c>
      <c r="D23" s="1" t="s">
        <v>87</v>
      </c>
      <c r="E23" s="3">
        <f t="shared" si="45"/>
        <v>13149593.41</v>
      </c>
      <c r="F23" s="3">
        <f>freq*exp*J23</f>
        <v>11647.11551</v>
      </c>
      <c r="G23" s="3">
        <f>ins*Y23</f>
        <v>11034.29734</v>
      </c>
      <c r="H23" s="3">
        <f t="shared" si="46"/>
        <v>612.8181692</v>
      </c>
      <c r="I23" s="10">
        <f>A23*freq*K23</f>
        <v>123.8951448</v>
      </c>
      <c r="J23" s="11">
        <f t="shared" si="47"/>
        <v>1.853452951</v>
      </c>
      <c r="K23" s="11">
        <f t="shared" si="48"/>
        <v>1.299314623</v>
      </c>
      <c r="L23" s="11">
        <f t="shared" si="49"/>
        <v>1.426485101</v>
      </c>
      <c r="M23" s="12">
        <v>15569.9</v>
      </c>
      <c r="N23" s="11">
        <f>2*M13/(M13+M5)</f>
        <v>1.264837772</v>
      </c>
      <c r="O23" s="12">
        <v>14412.9</v>
      </c>
      <c r="P23" s="11">
        <f t="shared" si="50"/>
        <v>1.12780084</v>
      </c>
      <c r="Q23" s="12">
        <v>12147.5</v>
      </c>
      <c r="R23" s="11">
        <f t="shared" si="51"/>
        <v>0.9551179106</v>
      </c>
      <c r="S23" s="12">
        <v>10.1</v>
      </c>
      <c r="T23" s="11">
        <f>S23*(young+mid+old)/(6.6*young+7.2*mid+10.1*old)</f>
        <v>1.354772202</v>
      </c>
      <c r="U23" s="1">
        <v>8915.6</v>
      </c>
      <c r="V23" s="11">
        <f t="shared" si="52"/>
        <v>0.9116062208</v>
      </c>
      <c r="W23" s="13">
        <v>10124.9</v>
      </c>
      <c r="X23" s="11">
        <f t="shared" si="53"/>
        <v>1.05206063</v>
      </c>
      <c r="Y23" s="12">
        <v>2.437</v>
      </c>
    </row>
    <row r="24">
      <c r="A24" s="2">
        <f>'Raw Data'!I24-'Raw Data'!I23</f>
        <v>984</v>
      </c>
      <c r="B24" s="2">
        <f>'Raw Data'!J24-'Raw Data'!J23</f>
        <v>8777</v>
      </c>
      <c r="C24" s="6">
        <f t="shared" si="44"/>
        <v>0.1121111997</v>
      </c>
      <c r="D24" s="1" t="s">
        <v>96</v>
      </c>
      <c r="E24" s="3">
        <f t="shared" si="45"/>
        <v>10182350.59</v>
      </c>
      <c r="F24" s="3">
        <f>freq*exp*J24</f>
        <v>10347.91727</v>
      </c>
      <c r="G24" s="3">
        <f>ins*Y24</f>
        <v>11034.29734</v>
      </c>
      <c r="H24" s="3">
        <f t="shared" si="46"/>
        <v>-686.3800704</v>
      </c>
      <c r="I24" s="10">
        <f>A24*freq*K24</f>
        <v>95.93785613</v>
      </c>
      <c r="J24" s="11">
        <f t="shared" si="47"/>
        <v>1.646706241</v>
      </c>
      <c r="K24" s="11">
        <f t="shared" si="48"/>
        <v>1.15438026</v>
      </c>
      <c r="L24" s="11">
        <f t="shared" si="49"/>
        <v>1.426485101</v>
      </c>
      <c r="M24" s="12">
        <v>15569.9</v>
      </c>
      <c r="N24" s="11">
        <f>2*M13/(M13+M5)</f>
        <v>1.264837772</v>
      </c>
      <c r="O24" s="12">
        <v>14412.9</v>
      </c>
      <c r="P24" s="11">
        <f t="shared" si="50"/>
        <v>1.12780084</v>
      </c>
      <c r="Q24" s="12">
        <v>12897.0</v>
      </c>
      <c r="R24" s="11">
        <f t="shared" si="51"/>
        <v>1.014048627</v>
      </c>
      <c r="S24" s="12">
        <v>10.1</v>
      </c>
      <c r="T24" s="11">
        <f>S24*(young+mid+old)/(6.6*young+7.2*mid+10.1*old)</f>
        <v>1.354772202</v>
      </c>
      <c r="U24" s="1">
        <v>8915.6</v>
      </c>
      <c r="V24" s="11">
        <f t="shared" si="52"/>
        <v>0.9116062208</v>
      </c>
      <c r="W24" s="13">
        <v>8995.5</v>
      </c>
      <c r="X24" s="11">
        <f t="shared" si="53"/>
        <v>0.934706654</v>
      </c>
      <c r="Y24" s="12">
        <v>2.437</v>
      </c>
    </row>
    <row r="25">
      <c r="A25" s="2">
        <f>'Raw Data'!I25-'Raw Data'!I24</f>
        <v>2186</v>
      </c>
      <c r="B25" s="2">
        <f>'Raw Data'!J25-'Raw Data'!J24</f>
        <v>24203</v>
      </c>
      <c r="C25" s="6">
        <f t="shared" si="44"/>
        <v>0.09031938189</v>
      </c>
      <c r="D25" s="1" t="s">
        <v>97</v>
      </c>
      <c r="E25" s="3">
        <f t="shared" si="45"/>
        <v>19166924.84</v>
      </c>
      <c r="F25" s="3">
        <f>freq*exp*J25</f>
        <v>8768.035153</v>
      </c>
      <c r="G25" s="3">
        <f>ins*Y25</f>
        <v>11034.29734</v>
      </c>
      <c r="H25" s="3">
        <f t="shared" si="46"/>
        <v>-2266.262187</v>
      </c>
      <c r="I25" s="10">
        <f>A25*freq*K25</f>
        <v>180.5902931</v>
      </c>
      <c r="J25" s="11">
        <f t="shared" si="47"/>
        <v>1.395293162</v>
      </c>
      <c r="K25" s="11">
        <f t="shared" si="48"/>
        <v>0.9781337087</v>
      </c>
      <c r="L25" s="11">
        <f t="shared" si="49"/>
        <v>1.426485101</v>
      </c>
      <c r="M25" s="12">
        <v>15569.9</v>
      </c>
      <c r="N25" s="11">
        <f>2*M13/(M13+M5)</f>
        <v>1.264837772</v>
      </c>
      <c r="O25" s="12">
        <v>14412.9</v>
      </c>
      <c r="P25" s="11">
        <f t="shared" si="50"/>
        <v>1.12780084</v>
      </c>
      <c r="Q25" s="12">
        <v>14103.0</v>
      </c>
      <c r="R25" s="11">
        <f t="shared" si="51"/>
        <v>1.108872434</v>
      </c>
      <c r="S25" s="12">
        <v>10.1</v>
      </c>
      <c r="T25" s="11">
        <f>S25*(young+mid+old)/(6.6*young+7.2*mid+10.1*old)</f>
        <v>1.354772202</v>
      </c>
      <c r="U25" s="1">
        <v>8915.6</v>
      </c>
      <c r="V25" s="11">
        <f t="shared" si="52"/>
        <v>0.9116062208</v>
      </c>
      <c r="W25" s="13">
        <v>7622.1</v>
      </c>
      <c r="X25" s="11">
        <f t="shared" si="53"/>
        <v>0.7919990648</v>
      </c>
      <c r="Y25" s="12">
        <v>2.437</v>
      </c>
    </row>
    <row r="26">
      <c r="C26" s="6"/>
      <c r="E26" s="3"/>
      <c r="F26" s="3"/>
      <c r="G26" s="3"/>
      <c r="H26" s="3"/>
      <c r="I26" s="10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V26" s="11"/>
      <c r="W26" s="10"/>
      <c r="X26" s="11"/>
      <c r="Y26" s="11"/>
    </row>
    <row r="27">
      <c r="A27" s="2">
        <f>'Raw Data'!I27</f>
        <v>2305</v>
      </c>
      <c r="B27" s="2">
        <f>'Raw Data'!J27</f>
        <v>23427</v>
      </c>
      <c r="C27" s="6">
        <f t="shared" ref="C27:C30" si="54">A27/B27</f>
        <v>0.09839074572</v>
      </c>
      <c r="D27" s="1" t="s">
        <v>51</v>
      </c>
      <c r="E27" s="3">
        <f t="shared" ref="E27:E30" si="55">A27*F27</f>
        <v>28774602.13</v>
      </c>
      <c r="F27" s="3">
        <f>freq*exp*J27</f>
        <v>12483.55841</v>
      </c>
      <c r="G27" s="3">
        <f>ins*Y27</f>
        <v>11034.29734</v>
      </c>
      <c r="H27" s="3">
        <f t="shared" ref="H27:H30" si="56">F27-G27</f>
        <v>1449.261069</v>
      </c>
      <c r="I27" s="10">
        <f>A27*freq*K27</f>
        <v>350.5645844</v>
      </c>
      <c r="J27" s="11">
        <f t="shared" ref="J27:J30" si="57">K27*L27</f>
        <v>1.986559518</v>
      </c>
      <c r="K27" s="11">
        <f t="shared" ref="K27:K30" si="58">T27*V27*X27</f>
        <v>1.800740327</v>
      </c>
      <c r="L27" s="11">
        <f t="shared" ref="L27:L30" si="59">N27*P27</f>
        <v>1.103190442</v>
      </c>
      <c r="M27" s="12">
        <v>15569.9</v>
      </c>
      <c r="N27" s="11">
        <f>2*M13/(M13+M5)</f>
        <v>1.264837772</v>
      </c>
      <c r="O27" s="12">
        <v>11146.4</v>
      </c>
      <c r="P27" s="11">
        <f t="shared" ref="P27:P30" si="60">O27/(14412.9+11146.4)*2</f>
        <v>0.8721991604</v>
      </c>
      <c r="Q27" s="12">
        <v>11725.8</v>
      </c>
      <c r="R27" s="11">
        <f t="shared" ref="R27:R30" si="61">Q27*4/(11725.8+12147.5+12897+14103)</f>
        <v>0.9219610287</v>
      </c>
      <c r="S27" s="12">
        <v>10.1</v>
      </c>
      <c r="T27" s="11">
        <f>S27*(young+mid+old)/(6.6*young+7.2*mid+10.1*old)</f>
        <v>1.354772202</v>
      </c>
      <c r="U27" s="1">
        <v>10644.6</v>
      </c>
      <c r="V27" s="11">
        <f t="shared" ref="V27:V30" si="62">U27*2/(8915.6+10644.6)</f>
        <v>1.088393779</v>
      </c>
      <c r="W27" s="13">
        <v>11753.0</v>
      </c>
      <c r="X27" s="11">
        <f t="shared" ref="X27:X30" si="63">W27*4/(11753+10124.9+8995.5+7622.1)</f>
        <v>1.221233651</v>
      </c>
      <c r="Y27" s="12">
        <v>2.437</v>
      </c>
    </row>
    <row r="28">
      <c r="A28" s="2">
        <f>'Raw Data'!I28-'Raw Data'!I27</f>
        <v>1144</v>
      </c>
      <c r="B28" s="2">
        <f>'Raw Data'!J28-'Raw Data'!J27</f>
        <v>11498</v>
      </c>
      <c r="C28" s="6">
        <f t="shared" si="54"/>
        <v>0.09949556445</v>
      </c>
      <c r="D28" s="1" t="s">
        <v>87</v>
      </c>
      <c r="E28" s="3">
        <f t="shared" si="55"/>
        <v>12302869.81</v>
      </c>
      <c r="F28" s="3">
        <f>freq*exp*J28</f>
        <v>10754.25683</v>
      </c>
      <c r="G28" s="3">
        <f>ins*Y28</f>
        <v>11034.29734</v>
      </c>
      <c r="H28" s="3">
        <f t="shared" si="56"/>
        <v>-280.0405091</v>
      </c>
      <c r="I28" s="10">
        <f>A28*freq*K28</f>
        <v>149.887405</v>
      </c>
      <c r="J28" s="11">
        <f t="shared" si="57"/>
        <v>1.711368711</v>
      </c>
      <c r="K28" s="11">
        <f t="shared" si="58"/>
        <v>1.551290371</v>
      </c>
      <c r="L28" s="11">
        <f t="shared" si="59"/>
        <v>1.103190442</v>
      </c>
      <c r="M28" s="12">
        <v>15569.9</v>
      </c>
      <c r="N28" s="11">
        <f>2*M13/(M13+M5)</f>
        <v>1.264837772</v>
      </c>
      <c r="O28" s="12">
        <v>11146.4</v>
      </c>
      <c r="P28" s="11">
        <f t="shared" si="60"/>
        <v>0.8721991604</v>
      </c>
      <c r="Q28" s="12">
        <v>12147.5</v>
      </c>
      <c r="R28" s="11">
        <f t="shared" si="61"/>
        <v>0.9551179106</v>
      </c>
      <c r="S28" s="12">
        <v>10.1</v>
      </c>
      <c r="T28" s="11">
        <f>S28*(young+mid+old)/(6.6*young+7.2*mid+10.1*old)</f>
        <v>1.354772202</v>
      </c>
      <c r="U28" s="1">
        <v>10644.6</v>
      </c>
      <c r="V28" s="11">
        <f t="shared" si="62"/>
        <v>1.088393779</v>
      </c>
      <c r="W28" s="13">
        <v>10124.9</v>
      </c>
      <c r="X28" s="11">
        <f t="shared" si="63"/>
        <v>1.05206063</v>
      </c>
      <c r="Y28" s="12">
        <v>2.437</v>
      </c>
    </row>
    <row r="29">
      <c r="A29" s="2">
        <f>'Raw Data'!I29-'Raw Data'!I28</f>
        <v>762</v>
      </c>
      <c r="B29" s="2">
        <f>'Raw Data'!J29-'Raw Data'!J28</f>
        <v>9228</v>
      </c>
      <c r="C29" s="6">
        <f t="shared" si="54"/>
        <v>0.08257477243</v>
      </c>
      <c r="D29" s="1" t="s">
        <v>96</v>
      </c>
      <c r="E29" s="3">
        <f t="shared" si="55"/>
        <v>7280646.426</v>
      </c>
      <c r="F29" s="3">
        <f>freq*exp*J29</f>
        <v>9554.654102</v>
      </c>
      <c r="G29" s="3">
        <f>ins*Y29</f>
        <v>11034.29734</v>
      </c>
      <c r="H29" s="3">
        <f t="shared" si="56"/>
        <v>-1479.643238</v>
      </c>
      <c r="I29" s="10">
        <f>A29*freq*K29</f>
        <v>88.70102796</v>
      </c>
      <c r="J29" s="11">
        <f t="shared" si="57"/>
        <v>1.520471041</v>
      </c>
      <c r="K29" s="11">
        <f t="shared" si="58"/>
        <v>1.378248924</v>
      </c>
      <c r="L29" s="11">
        <f t="shared" si="59"/>
        <v>1.103190442</v>
      </c>
      <c r="M29" s="12">
        <v>15569.9</v>
      </c>
      <c r="N29" s="11">
        <f>2*M13/(M13+M5)</f>
        <v>1.264837772</v>
      </c>
      <c r="O29" s="12">
        <v>11146.4</v>
      </c>
      <c r="P29" s="11">
        <f t="shared" si="60"/>
        <v>0.8721991604</v>
      </c>
      <c r="Q29" s="12">
        <v>12897.0</v>
      </c>
      <c r="R29" s="11">
        <f t="shared" si="61"/>
        <v>1.014048627</v>
      </c>
      <c r="S29" s="12">
        <v>10.1</v>
      </c>
      <c r="T29" s="11">
        <f>S29*(young+mid+old)/(6.6*young+7.2*mid+10.1*old)</f>
        <v>1.354772202</v>
      </c>
      <c r="U29" s="1">
        <v>10644.6</v>
      </c>
      <c r="V29" s="11">
        <f t="shared" si="62"/>
        <v>1.088393779</v>
      </c>
      <c r="W29" s="13">
        <v>8995.5</v>
      </c>
      <c r="X29" s="11">
        <f t="shared" si="63"/>
        <v>0.934706654</v>
      </c>
      <c r="Y29" s="12">
        <v>2.437</v>
      </c>
    </row>
    <row r="30">
      <c r="A30" s="2">
        <f>'Raw Data'!I30-'Raw Data'!I29</f>
        <v>2022</v>
      </c>
      <c r="B30" s="2">
        <f>'Raw Data'!J30-'Raw Data'!J29</f>
        <v>27822</v>
      </c>
      <c r="C30" s="6">
        <f t="shared" si="54"/>
        <v>0.07267629933</v>
      </c>
      <c r="D30" s="1" t="s">
        <v>97</v>
      </c>
      <c r="E30" s="3">
        <f t="shared" si="55"/>
        <v>16369878.46</v>
      </c>
      <c r="F30" s="3">
        <f>freq*exp*J30</f>
        <v>8095.884502</v>
      </c>
      <c r="G30" s="3">
        <f>ins*Y30</f>
        <v>11034.29734</v>
      </c>
      <c r="H30" s="3">
        <f t="shared" si="56"/>
        <v>-2938.412838</v>
      </c>
      <c r="I30" s="10">
        <f>A30*freq*K30</f>
        <v>199.4362811</v>
      </c>
      <c r="J30" s="11">
        <f t="shared" si="57"/>
        <v>1.28833109</v>
      </c>
      <c r="K30" s="11">
        <f t="shared" si="58"/>
        <v>1.167822926</v>
      </c>
      <c r="L30" s="11">
        <f t="shared" si="59"/>
        <v>1.103190442</v>
      </c>
      <c r="M30" s="12">
        <v>15569.9</v>
      </c>
      <c r="N30" s="11">
        <f>2*M13/(M13+M5)</f>
        <v>1.264837772</v>
      </c>
      <c r="O30" s="12">
        <v>11146.4</v>
      </c>
      <c r="P30" s="11">
        <f t="shared" si="60"/>
        <v>0.8721991604</v>
      </c>
      <c r="Q30" s="12">
        <v>14103.0</v>
      </c>
      <c r="R30" s="11">
        <f t="shared" si="61"/>
        <v>1.108872434</v>
      </c>
      <c r="S30" s="12">
        <v>10.1</v>
      </c>
      <c r="T30" s="11">
        <f>S30*(young+mid+old)/(6.6*young+7.2*mid+10.1*old)</f>
        <v>1.354772202</v>
      </c>
      <c r="U30" s="1">
        <v>10644.6</v>
      </c>
      <c r="V30" s="11">
        <f t="shared" si="62"/>
        <v>1.088393779</v>
      </c>
      <c r="W30" s="13">
        <v>7622.1</v>
      </c>
      <c r="X30" s="11">
        <f t="shared" si="63"/>
        <v>0.7919990648</v>
      </c>
      <c r="Y30" s="12">
        <v>2.437</v>
      </c>
    </row>
    <row r="31">
      <c r="A31" s="2">
        <f>SUM(A22:A30)</f>
        <v>12540</v>
      </c>
      <c r="C31" s="6"/>
      <c r="D31" s="1" t="s">
        <v>102</v>
      </c>
      <c r="E31" s="3">
        <f>sum(E2:E30)</f>
        <v>385881458.5</v>
      </c>
      <c r="F31" s="1" t="s">
        <v>113</v>
      </c>
      <c r="G31" s="1"/>
      <c r="H31" s="1"/>
      <c r="I31" s="10">
        <f>sum(I2:I30)</f>
        <v>5142.483325</v>
      </c>
    </row>
    <row r="32">
      <c r="A32" s="1" t="s">
        <v>114</v>
      </c>
      <c r="B32" s="1" t="s">
        <v>115</v>
      </c>
      <c r="C32" s="1" t="s">
        <v>116</v>
      </c>
      <c r="D32" s="1" t="s">
        <v>117</v>
      </c>
      <c r="E32" s="4">
        <v>3.83324565E8</v>
      </c>
      <c r="F32" s="1" t="s">
        <v>118</v>
      </c>
      <c r="G32" s="1"/>
      <c r="H32" s="1"/>
      <c r="I32" s="1">
        <v>5152.0</v>
      </c>
    </row>
    <row r="33">
      <c r="A33" s="17">
        <f>sum(A2:A30)</f>
        <v>109460</v>
      </c>
      <c r="B33" s="1" t="s">
        <v>119</v>
      </c>
      <c r="C33" s="2">
        <f>5152/61000</f>
        <v>0.08445901639</v>
      </c>
      <c r="D33" s="1" t="s">
        <v>120</v>
      </c>
      <c r="E33" s="6">
        <f>(abs(E31-E32))/E31</f>
        <v>0.006626111447</v>
      </c>
      <c r="I33" s="6">
        <f>abs(I31-I32)/I32</f>
        <v>0.001847180723</v>
      </c>
    </row>
    <row r="34">
      <c r="A34" s="16"/>
    </row>
    <row r="35">
      <c r="B35" s="1" t="s">
        <v>121</v>
      </c>
      <c r="C35" s="1">
        <v>4527.82</v>
      </c>
    </row>
  </sheetData>
  <conditionalFormatting sqref="H2:H30">
    <cfRule type="colorScale" priority="1">
      <colorScale>
        <cfvo type="min"/>
        <cfvo type="formula" val="0"/>
        <cfvo type="max"/>
        <color rgb="FFFF0000"/>
        <color rgb="FFFFFFFF"/>
        <color rgb="FF00FF00"/>
      </colorScale>
    </cfRule>
  </conditionalFormatting>
  <conditionalFormatting sqref="E2:E30">
    <cfRule type="colorScale" priority="2">
      <colorScale>
        <cfvo type="min"/>
        <cfvo type="max"/>
        <color rgb="FF00FF00"/>
        <color rgb="FFFF0000"/>
      </colorScale>
    </cfRule>
  </conditionalFormatting>
  <conditionalFormatting sqref="F2:F31 G31:H31">
    <cfRule type="colorScale" priority="3">
      <colorScale>
        <cfvo type="min"/>
        <cfvo type="max"/>
        <color rgb="FF00FF00"/>
        <color rgb="FFFF0000"/>
      </colorScale>
    </cfRule>
  </conditionalFormatting>
  <conditionalFormatting sqref="C2:C31">
    <cfRule type="colorScale" priority="4">
      <colorScale>
        <cfvo type="min"/>
        <cfvo type="max"/>
        <color rgb="FF00FF00"/>
        <color rgb="FFFF0000"/>
      </colorScale>
    </cfRule>
  </conditionalFormatting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5" t="s">
        <v>14</v>
      </c>
    </row>
    <row r="3">
      <c r="A3" s="1" t="s">
        <v>49</v>
      </c>
    </row>
    <row r="4">
      <c r="A4" s="1" t="s">
        <v>50</v>
      </c>
    </row>
    <row r="5">
      <c r="A5" s="1" t="s">
        <v>52</v>
      </c>
      <c r="B5" s="7" t="s">
        <v>53</v>
      </c>
      <c r="C5" s="7" t="s">
        <v>54</v>
      </c>
      <c r="D5" s="7">
        <v>21.0</v>
      </c>
      <c r="E5" s="8">
        <v>377.318</v>
      </c>
      <c r="F5" s="7" t="s">
        <v>56</v>
      </c>
      <c r="G5" s="7" t="s">
        <v>57</v>
      </c>
      <c r="H5" s="7" t="s">
        <v>58</v>
      </c>
      <c r="I5" s="7" t="s">
        <v>59</v>
      </c>
      <c r="J5" s="9" t="s">
        <v>61</v>
      </c>
      <c r="K5" s="7" t="s">
        <v>62</v>
      </c>
    </row>
    <row r="6">
      <c r="A6" s="1" t="s">
        <v>63</v>
      </c>
      <c r="B6" s="3">
        <f>E5*12</f>
        <v>4527.816</v>
      </c>
    </row>
    <row r="8">
      <c r="A8" s="1" t="s">
        <v>66</v>
      </c>
      <c r="B8" s="1">
        <v>21.0</v>
      </c>
      <c r="C8" s="1">
        <v>1.0</v>
      </c>
    </row>
    <row r="9">
      <c r="A9" s="5" t="s">
        <v>68</v>
      </c>
      <c r="B9" s="1">
        <v>28.0</v>
      </c>
      <c r="C9" s="1">
        <v>1.087</v>
      </c>
    </row>
    <row r="10">
      <c r="B10" s="1">
        <v>45.0</v>
      </c>
      <c r="C10" s="1">
        <v>1.444</v>
      </c>
    </row>
    <row r="11">
      <c r="B11" s="1">
        <v>57.0</v>
      </c>
      <c r="C11" s="1">
        <v>2.437</v>
      </c>
    </row>
    <row r="12">
      <c r="B12" s="1">
        <v>52.0</v>
      </c>
      <c r="C12" s="1">
        <v>1.952</v>
      </c>
    </row>
    <row r="13">
      <c r="C13" s="1">
        <v>4527.82</v>
      </c>
    </row>
  </sheetData>
  <hyperlinks>
    <hyperlink r:id="rId1" ref="A2"/>
    <hyperlink r:id="rId2" ref="A9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5</v>
      </c>
      <c r="C1" s="1" t="s">
        <v>8</v>
      </c>
      <c r="D1" s="1" t="s">
        <v>11</v>
      </c>
      <c r="E1" s="1" t="s">
        <v>13</v>
      </c>
      <c r="F1" s="1" t="s">
        <v>16</v>
      </c>
      <c r="H1" s="1" t="s">
        <v>20</v>
      </c>
      <c r="I1" s="1" t="s">
        <v>23</v>
      </c>
      <c r="J1" s="1" t="s">
        <v>25</v>
      </c>
      <c r="K1" s="1" t="s">
        <v>27</v>
      </c>
      <c r="L1" s="1" t="s">
        <v>30</v>
      </c>
      <c r="M1" s="1" t="s">
        <v>32</v>
      </c>
      <c r="N1" s="1" t="s">
        <v>34</v>
      </c>
    </row>
    <row r="2">
      <c r="A2" s="1" t="s">
        <v>36</v>
      </c>
      <c r="B2" s="2">
        <v>6367.0</v>
      </c>
      <c r="C2" s="3">
        <v>5135.080984240385</v>
      </c>
      <c r="D2" s="3">
        <v>4921.740339999999</v>
      </c>
      <c r="E2" s="3">
        <v>213.3406442403857</v>
      </c>
      <c r="F2" s="1">
        <v>0.0</v>
      </c>
      <c r="H2" s="3">
        <f t="shared" ref="H2:H25" si="1">F2*C2</f>
        <v>0</v>
      </c>
      <c r="I2" s="3">
        <f t="shared" ref="I2:I25" si="2">D2*F2</f>
        <v>0</v>
      </c>
      <c r="J2" s="3">
        <f t="shared" ref="J2:J25" si="3">H2-I2</f>
        <v>0</v>
      </c>
      <c r="K2" s="4">
        <v>1000000.0</v>
      </c>
      <c r="L2" s="3">
        <f>sum(I2:I25)</f>
        <v>1000000</v>
      </c>
      <c r="M2" s="2">
        <f>sum(F2:F25)</f>
        <v>152.9479475</v>
      </c>
      <c r="N2" s="3">
        <f>sum(J2:J25)</f>
        <v>474114.276</v>
      </c>
    </row>
    <row r="3">
      <c r="A3" s="1" t="s">
        <v>64</v>
      </c>
      <c r="B3" s="2">
        <v>4694.0</v>
      </c>
      <c r="C3" s="3">
        <v>4423.737042230535</v>
      </c>
      <c r="D3" s="3">
        <v>4921.740339999999</v>
      </c>
      <c r="E3" s="3">
        <v>-498.00329776946455</v>
      </c>
      <c r="F3" s="1">
        <v>0.0</v>
      </c>
      <c r="H3" s="3">
        <f t="shared" si="1"/>
        <v>0</v>
      </c>
      <c r="I3" s="3">
        <f t="shared" si="2"/>
        <v>0</v>
      </c>
      <c r="J3" s="3">
        <f t="shared" si="3"/>
        <v>0</v>
      </c>
      <c r="K3" s="3"/>
    </row>
    <row r="4">
      <c r="A4" s="1" t="s">
        <v>65</v>
      </c>
      <c r="B4" s="2">
        <v>3642.0</v>
      </c>
      <c r="C4" s="3">
        <v>3930.2834164668075</v>
      </c>
      <c r="D4" s="3">
        <v>4921.740339999999</v>
      </c>
      <c r="E4" s="3">
        <v>-991.4569235331919</v>
      </c>
      <c r="F4" s="1">
        <v>0.0</v>
      </c>
      <c r="H4" s="3">
        <f t="shared" si="1"/>
        <v>0</v>
      </c>
      <c r="I4" s="3">
        <f t="shared" si="2"/>
        <v>0</v>
      </c>
      <c r="J4" s="3">
        <f t="shared" si="3"/>
        <v>0</v>
      </c>
      <c r="K4" s="3"/>
    </row>
    <row r="5">
      <c r="A5" s="1" t="s">
        <v>69</v>
      </c>
      <c r="B5" s="2">
        <v>6659.0</v>
      </c>
      <c r="C5" s="3">
        <v>3330.222136473976</v>
      </c>
      <c r="D5" s="3">
        <v>4921.740339999999</v>
      </c>
      <c r="E5" s="3">
        <v>-1591.5182035260232</v>
      </c>
      <c r="F5" s="1">
        <v>0.0</v>
      </c>
      <c r="H5" s="3">
        <f t="shared" si="1"/>
        <v>0</v>
      </c>
      <c r="I5" s="3">
        <f t="shared" si="2"/>
        <v>0</v>
      </c>
      <c r="J5" s="3">
        <f t="shared" si="3"/>
        <v>0</v>
      </c>
      <c r="K5" s="3"/>
    </row>
    <row r="6">
      <c r="A6" s="1" t="s">
        <v>70</v>
      </c>
      <c r="B6" s="2">
        <v>5138.0</v>
      </c>
      <c r="C6" s="3">
        <v>4741.429730677785</v>
      </c>
      <c r="D6" s="3">
        <v>4921.740339999999</v>
      </c>
      <c r="E6" s="3">
        <v>-180.31060932221408</v>
      </c>
      <c r="F6" s="1">
        <v>0.0</v>
      </c>
      <c r="H6" s="3">
        <f t="shared" si="1"/>
        <v>0</v>
      </c>
      <c r="I6" s="3">
        <f t="shared" si="2"/>
        <v>0</v>
      </c>
      <c r="J6" s="3">
        <f t="shared" si="3"/>
        <v>0</v>
      </c>
      <c r="K6" s="3"/>
    </row>
    <row r="7">
      <c r="A7" s="1" t="s">
        <v>72</v>
      </c>
      <c r="B7" s="2">
        <v>2629.0</v>
      </c>
      <c r="C7" s="3">
        <v>4084.616853581172</v>
      </c>
      <c r="D7" s="3">
        <v>4921.740339999999</v>
      </c>
      <c r="E7" s="3">
        <v>-837.1234864188273</v>
      </c>
      <c r="F7" s="1">
        <v>0.0</v>
      </c>
      <c r="H7" s="3">
        <f t="shared" si="1"/>
        <v>0</v>
      </c>
      <c r="I7" s="3">
        <f t="shared" si="2"/>
        <v>0</v>
      </c>
      <c r="J7" s="3">
        <f t="shared" si="3"/>
        <v>0</v>
      </c>
      <c r="K7" s="3"/>
    </row>
    <row r="8">
      <c r="A8" s="1" t="s">
        <v>73</v>
      </c>
      <c r="B8" s="2">
        <v>1856.0</v>
      </c>
      <c r="C8" s="3">
        <v>3628.9909931346906</v>
      </c>
      <c r="D8" s="3">
        <v>4921.740339999999</v>
      </c>
      <c r="E8" s="3">
        <v>-1292.7493468653088</v>
      </c>
      <c r="F8" s="1">
        <v>0.0</v>
      </c>
      <c r="H8" s="3">
        <f t="shared" si="1"/>
        <v>0</v>
      </c>
      <c r="I8" s="3">
        <f t="shared" si="2"/>
        <v>0</v>
      </c>
      <c r="J8" s="3">
        <f t="shared" si="3"/>
        <v>0</v>
      </c>
      <c r="K8" s="3"/>
    </row>
    <row r="9">
      <c r="A9" s="1" t="s">
        <v>74</v>
      </c>
      <c r="B9" s="2">
        <v>3687.0</v>
      </c>
      <c r="C9" s="3">
        <v>3074.9299370542967</v>
      </c>
      <c r="D9" s="3">
        <v>4921.740339999999</v>
      </c>
      <c r="E9" s="3">
        <v>-1846.8104029457027</v>
      </c>
      <c r="F9" s="1">
        <v>0.0</v>
      </c>
      <c r="H9" s="3">
        <f t="shared" si="1"/>
        <v>0</v>
      </c>
      <c r="I9" s="3">
        <f t="shared" si="2"/>
        <v>0</v>
      </c>
      <c r="J9" s="3">
        <f t="shared" si="3"/>
        <v>0</v>
      </c>
      <c r="K9" s="3"/>
    </row>
    <row r="10">
      <c r="A10" s="1" t="s">
        <v>76</v>
      </c>
      <c r="B10" s="2">
        <v>3223.0</v>
      </c>
      <c r="C10" s="3">
        <v>9638.012802014457</v>
      </c>
      <c r="D10" s="3">
        <v>6538.172079999999</v>
      </c>
      <c r="E10" s="3">
        <v>3099.8407220144572</v>
      </c>
      <c r="F10" s="1">
        <v>152.94794749421928</v>
      </c>
      <c r="H10" s="3">
        <f t="shared" si="1"/>
        <v>1474114.276</v>
      </c>
      <c r="I10" s="3">
        <f t="shared" si="2"/>
        <v>1000000</v>
      </c>
      <c r="J10" s="3">
        <f t="shared" si="3"/>
        <v>474114.276</v>
      </c>
      <c r="K10" s="3"/>
    </row>
    <row r="11">
      <c r="A11" s="1" t="s">
        <v>77</v>
      </c>
      <c r="B11" s="2">
        <v>1819.0</v>
      </c>
      <c r="C11" s="3">
        <v>8302.89422437813</v>
      </c>
      <c r="D11" s="3">
        <v>6538.172079999999</v>
      </c>
      <c r="E11" s="3">
        <v>1764.72214437813</v>
      </c>
      <c r="F11" s="1">
        <v>0.0</v>
      </c>
      <c r="H11" s="3">
        <f t="shared" si="1"/>
        <v>0</v>
      </c>
      <c r="I11" s="3">
        <f t="shared" si="2"/>
        <v>0</v>
      </c>
      <c r="J11" s="3">
        <f t="shared" si="3"/>
        <v>0</v>
      </c>
      <c r="K11" s="3"/>
    </row>
    <row r="12">
      <c r="A12" s="1" t="s">
        <v>79</v>
      </c>
      <c r="B12" s="2">
        <v>1479.0</v>
      </c>
      <c r="C12" s="3">
        <v>7376.733103081856</v>
      </c>
      <c r="D12" s="3">
        <v>6538.172079999999</v>
      </c>
      <c r="E12" s="3">
        <v>838.5610230818565</v>
      </c>
      <c r="F12" s="1">
        <v>0.0</v>
      </c>
      <c r="H12" s="3">
        <f t="shared" si="1"/>
        <v>0</v>
      </c>
      <c r="I12" s="3">
        <f t="shared" si="2"/>
        <v>0</v>
      </c>
      <c r="J12" s="3">
        <f t="shared" si="3"/>
        <v>0</v>
      </c>
      <c r="K12" s="3"/>
    </row>
    <row r="13">
      <c r="A13" s="1" t="s">
        <v>80</v>
      </c>
      <c r="B13" s="2">
        <v>2193.0</v>
      </c>
      <c r="C13" s="3">
        <v>6250.48050525265</v>
      </c>
      <c r="D13" s="3">
        <v>6538.172079999999</v>
      </c>
      <c r="E13" s="3">
        <v>-287.6915747473495</v>
      </c>
      <c r="F13" s="1">
        <v>0.0</v>
      </c>
      <c r="H13" s="3">
        <f t="shared" si="1"/>
        <v>0</v>
      </c>
      <c r="I13" s="3">
        <f t="shared" si="2"/>
        <v>0</v>
      </c>
      <c r="J13" s="3">
        <f t="shared" si="3"/>
        <v>0</v>
      </c>
      <c r="K13" s="3"/>
    </row>
    <row r="14">
      <c r="A14" s="1" t="s">
        <v>81</v>
      </c>
      <c r="B14" s="2">
        <v>1790.0</v>
      </c>
      <c r="C14" s="3">
        <v>8899.170350841972</v>
      </c>
      <c r="D14" s="3">
        <v>6538.172079999999</v>
      </c>
      <c r="E14" s="3">
        <v>2360.998270841973</v>
      </c>
      <c r="F14" s="1">
        <v>0.0</v>
      </c>
      <c r="H14" s="3">
        <f t="shared" si="1"/>
        <v>0</v>
      </c>
      <c r="I14" s="3">
        <f t="shared" si="2"/>
        <v>0</v>
      </c>
      <c r="J14" s="3">
        <f t="shared" si="3"/>
        <v>0</v>
      </c>
      <c r="K14" s="3"/>
    </row>
    <row r="15">
      <c r="A15" s="1" t="s">
        <v>82</v>
      </c>
      <c r="B15" s="2">
        <v>990.0</v>
      </c>
      <c r="C15" s="3">
        <v>7666.400909149995</v>
      </c>
      <c r="D15" s="3">
        <v>6538.172079999999</v>
      </c>
      <c r="E15" s="3">
        <v>1128.2288291499954</v>
      </c>
      <c r="F15" s="1">
        <v>0.0</v>
      </c>
      <c r="H15" s="3">
        <f t="shared" si="1"/>
        <v>0</v>
      </c>
      <c r="I15" s="3">
        <f t="shared" si="2"/>
        <v>0</v>
      </c>
      <c r="J15" s="3">
        <f t="shared" si="3"/>
        <v>0</v>
      </c>
      <c r="K15" s="3"/>
    </row>
    <row r="16">
      <c r="A16" s="1" t="s">
        <v>83</v>
      </c>
      <c r="B16" s="2">
        <v>809.0</v>
      </c>
      <c r="C16" s="3">
        <v>6811.238568110182</v>
      </c>
      <c r="D16" s="3">
        <v>6538.172079999999</v>
      </c>
      <c r="E16" s="3">
        <v>273.06648811018295</v>
      </c>
      <c r="F16" s="1">
        <v>0.0</v>
      </c>
      <c r="H16" s="3">
        <f t="shared" si="1"/>
        <v>0</v>
      </c>
      <c r="I16" s="3">
        <f t="shared" si="2"/>
        <v>0</v>
      </c>
      <c r="J16" s="3">
        <f t="shared" si="3"/>
        <v>0</v>
      </c>
      <c r="K16" s="3"/>
    </row>
    <row r="17">
      <c r="A17" s="1" t="s">
        <v>84</v>
      </c>
      <c r="B17" s="2">
        <v>1485.0</v>
      </c>
      <c r="C17" s="3">
        <v>5771.3236051350805</v>
      </c>
      <c r="D17" s="3">
        <v>6538.172079999999</v>
      </c>
      <c r="E17" s="3">
        <v>-766.8484748649189</v>
      </c>
      <c r="F17" s="1">
        <v>0.0</v>
      </c>
      <c r="H17" s="3">
        <f t="shared" si="1"/>
        <v>0</v>
      </c>
      <c r="I17" s="3">
        <f t="shared" si="2"/>
        <v>0</v>
      </c>
      <c r="J17" s="3">
        <f t="shared" si="3"/>
        <v>0</v>
      </c>
      <c r="K17" s="3"/>
      <c r="L17" s="14"/>
    </row>
    <row r="18">
      <c r="A18" s="1" t="s">
        <v>85</v>
      </c>
      <c r="B18" s="2">
        <v>2008.0</v>
      </c>
      <c r="C18" s="3">
        <v>13519.99018060361</v>
      </c>
      <c r="D18" s="3">
        <v>11034.29734</v>
      </c>
      <c r="E18" s="3">
        <v>2485.6928406036113</v>
      </c>
      <c r="F18" s="1">
        <v>0.0</v>
      </c>
      <c r="H18" s="3">
        <f t="shared" si="1"/>
        <v>0</v>
      </c>
      <c r="I18" s="3">
        <f t="shared" si="2"/>
        <v>0</v>
      </c>
      <c r="J18" s="3">
        <f t="shared" si="3"/>
        <v>0</v>
      </c>
      <c r="K18" s="3"/>
      <c r="L18" s="14"/>
    </row>
    <row r="19">
      <c r="A19" s="1" t="s">
        <v>86</v>
      </c>
      <c r="B19" s="2">
        <v>1129.0</v>
      </c>
      <c r="C19" s="3">
        <v>11647.115509197098</v>
      </c>
      <c r="D19" s="3">
        <v>11034.29734</v>
      </c>
      <c r="E19" s="3">
        <v>612.8181691970985</v>
      </c>
      <c r="F19" s="1">
        <v>0.0</v>
      </c>
      <c r="H19" s="3">
        <f t="shared" si="1"/>
        <v>0</v>
      </c>
      <c r="I19" s="3">
        <f t="shared" si="2"/>
        <v>0</v>
      </c>
      <c r="J19" s="3">
        <f t="shared" si="3"/>
        <v>0</v>
      </c>
      <c r="K19" s="3"/>
    </row>
    <row r="20">
      <c r="A20" s="1" t="s">
        <v>88</v>
      </c>
      <c r="B20" s="2">
        <v>984.0</v>
      </c>
      <c r="C20" s="3">
        <v>10347.917269600935</v>
      </c>
      <c r="D20" s="3">
        <v>11034.29734</v>
      </c>
      <c r="E20" s="3">
        <v>-686.3800703990637</v>
      </c>
      <c r="F20" s="1">
        <v>0.0</v>
      </c>
      <c r="H20" s="3">
        <f t="shared" si="1"/>
        <v>0</v>
      </c>
      <c r="I20" s="3">
        <f t="shared" si="2"/>
        <v>0</v>
      </c>
      <c r="J20" s="3">
        <f t="shared" si="3"/>
        <v>0</v>
      </c>
      <c r="K20" s="3"/>
    </row>
    <row r="21">
      <c r="A21" s="1" t="s">
        <v>89</v>
      </c>
      <c r="B21" s="2">
        <v>2186.0</v>
      </c>
      <c r="C21" s="3">
        <v>8768.035153201632</v>
      </c>
      <c r="D21" s="3">
        <v>11034.29734</v>
      </c>
      <c r="E21" s="3">
        <v>-2266.262186798367</v>
      </c>
      <c r="F21" s="1">
        <v>0.0</v>
      </c>
      <c r="H21" s="3">
        <f t="shared" si="1"/>
        <v>0</v>
      </c>
      <c r="I21" s="3">
        <f t="shared" si="2"/>
        <v>0</v>
      </c>
      <c r="J21" s="3">
        <f t="shared" si="3"/>
        <v>0</v>
      </c>
      <c r="K21" s="3"/>
    </row>
    <row r="22">
      <c r="A22" s="1" t="s">
        <v>90</v>
      </c>
      <c r="B22" s="2">
        <v>2305.0</v>
      </c>
      <c r="C22" s="3">
        <v>12483.558408819988</v>
      </c>
      <c r="D22" s="3">
        <v>11034.29734</v>
      </c>
      <c r="E22" s="3">
        <v>1449.2610688199893</v>
      </c>
      <c r="F22" s="1">
        <v>0.0</v>
      </c>
      <c r="H22" s="3">
        <f t="shared" si="1"/>
        <v>0</v>
      </c>
      <c r="I22" s="3">
        <f t="shared" si="2"/>
        <v>0</v>
      </c>
      <c r="J22" s="3">
        <f t="shared" si="3"/>
        <v>0</v>
      </c>
      <c r="K22" s="3"/>
    </row>
    <row r="23">
      <c r="A23" s="1" t="s">
        <v>91</v>
      </c>
      <c r="B23" s="2">
        <v>1144.0</v>
      </c>
      <c r="C23" s="3">
        <v>10754.256830890965</v>
      </c>
      <c r="D23" s="3">
        <v>11034.29734</v>
      </c>
      <c r="E23" s="3">
        <v>-280.04050910903425</v>
      </c>
      <c r="F23" s="1">
        <v>0.0</v>
      </c>
      <c r="H23" s="3">
        <f t="shared" si="1"/>
        <v>0</v>
      </c>
      <c r="I23" s="3">
        <f t="shared" si="2"/>
        <v>0</v>
      </c>
      <c r="J23" s="3">
        <f t="shared" si="3"/>
        <v>0</v>
      </c>
      <c r="K23" s="3"/>
    </row>
    <row r="24">
      <c r="A24" s="1" t="s">
        <v>93</v>
      </c>
      <c r="B24" s="2">
        <v>762.0</v>
      </c>
      <c r="C24" s="3">
        <v>9554.654102487892</v>
      </c>
      <c r="D24" s="3">
        <v>11034.29734</v>
      </c>
      <c r="E24" s="3">
        <v>-1479.6432375121076</v>
      </c>
      <c r="F24" s="1">
        <v>0.0</v>
      </c>
      <c r="H24" s="3">
        <f t="shared" si="1"/>
        <v>0</v>
      </c>
      <c r="I24" s="3">
        <f t="shared" si="2"/>
        <v>0</v>
      </c>
      <c r="J24" s="3">
        <f t="shared" si="3"/>
        <v>0</v>
      </c>
      <c r="K24" s="3"/>
    </row>
    <row r="25">
      <c r="A25" s="1" t="s">
        <v>94</v>
      </c>
      <c r="B25" s="2">
        <v>2022.0</v>
      </c>
      <c r="C25" s="3">
        <v>8095.884501647822</v>
      </c>
      <c r="D25" s="3">
        <v>11034.29734</v>
      </c>
      <c r="E25" s="3">
        <v>-2938.4128383521775</v>
      </c>
      <c r="F25" s="1">
        <v>0.0</v>
      </c>
      <c r="H25" s="3">
        <f t="shared" si="1"/>
        <v>0</v>
      </c>
      <c r="I25" s="3">
        <f t="shared" si="2"/>
        <v>0</v>
      </c>
      <c r="J25" s="3">
        <f t="shared" si="3"/>
        <v>0</v>
      </c>
      <c r="K25" s="3"/>
    </row>
    <row r="26">
      <c r="F26" s="1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ModelSheet=Open Solver!A:Z</f>
        <v>#ERROR!</v>
      </c>
    </row>
    <row r="2">
      <c r="A2" s="2" t="str">
        <f>OpenSolver_AdjNum=1</f>
        <v>#NAME?</v>
      </c>
    </row>
    <row r="3">
      <c r="A3" s="2" t="str">
        <f>OpenSolver_ChosenSolver=Google</f>
        <v>#NAME?</v>
      </c>
    </row>
    <row r="4">
      <c r="A4" s="2" t="str">
        <f>OpenSolver_FastBuild=0</f>
        <v>#NAME?</v>
      </c>
    </row>
    <row r="5">
      <c r="A5" s="2" t="str">
        <f>OpenSolver_LinearityCheck=1</f>
        <v>#NAME?</v>
      </c>
    </row>
    <row r="6">
      <c r="A6" s="2" t="str">
        <f>solver_adj=Open Solver!F2:F25</f>
        <v>#ERROR!</v>
      </c>
    </row>
    <row r="7">
      <c r="A7" s="2" t="str">
        <f>solver_lhs1=Open Solver!F2:F25</f>
        <v>#ERROR!</v>
      </c>
    </row>
    <row r="8">
      <c r="A8" s="2" t="str">
        <f>solver_lhs2=Open Solver!F2:F25</f>
        <v>#ERROR!</v>
      </c>
    </row>
    <row r="9">
      <c r="A9" s="2" t="str">
        <f>solver_lhs3=Open Solver!L2</f>
        <v>#ERROR!</v>
      </c>
    </row>
    <row r="10">
      <c r="A10" s="2" t="str">
        <f>solver_neg=1</f>
        <v>#NAME?</v>
      </c>
    </row>
    <row r="11">
      <c r="A11" s="2" t="str">
        <f>solver_num=3</f>
        <v>#NAME?</v>
      </c>
    </row>
    <row r="12">
      <c r="A12" s="2" t="str">
        <f>solver_opt=Open Solver!N2</f>
        <v>#ERROR!</v>
      </c>
    </row>
    <row r="13">
      <c r="A13" s="2" t="str">
        <f>solver_rel1=1</f>
        <v>#NAME?</v>
      </c>
    </row>
    <row r="14">
      <c r="A14" s="2" t="str">
        <f>solver_rel2=3</f>
        <v>#NAME?</v>
      </c>
    </row>
    <row r="15">
      <c r="A15" s="2" t="str">
        <f>solver_rel3=1</f>
        <v>#NAME?</v>
      </c>
    </row>
    <row r="16">
      <c r="A16" s="2" t="str">
        <f>solver_rhs1=Open Solver!B2:B25</f>
        <v>#ERROR!</v>
      </c>
    </row>
    <row r="17">
      <c r="A17" s="2" t="str">
        <f>solver_rhs2=Open Solver!F26</f>
        <v>#ERROR!</v>
      </c>
    </row>
    <row r="18">
      <c r="A18" s="2" t="str">
        <f>solver_rhs3=Open Solver!K2</f>
        <v>#ERROR!</v>
      </c>
    </row>
    <row r="19">
      <c r="A19" s="2" t="str">
        <f>solver_sho=1</f>
        <v>#NAME?</v>
      </c>
    </row>
    <row r="20">
      <c r="A20" s="2" t="str">
        <f>solver_typ=1</f>
        <v>#NAME?</v>
      </c>
    </row>
    <row r="21">
      <c r="A21" s="2" t="str">
        <f>solver_val=0</f>
        <v>#NAME?</v>
      </c>
    </row>
  </sheetData>
  <drawing r:id="rId1"/>
</worksheet>
</file>